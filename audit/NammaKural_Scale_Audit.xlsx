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shboard" sheetId="2" state="visible" r:id="rId2"/>
    <sheet xmlns:r="http://schemas.openxmlformats.org/officeDocument/2006/relationships" name="Findings" sheetId="3" state="visible" r:id="rId3"/>
    <sheet xmlns:r="http://schemas.openxmlformats.org/officeDocument/2006/relationships" name="Epics" sheetId="4" state="visible" r:id="rId4"/>
    <sheet xmlns:r="http://schemas.openxmlformats.org/officeDocument/2006/relationships" name="Sprints" sheetId="5" state="visible" r:id="rId5"/>
    <sheet xmlns:r="http://schemas.openxmlformats.org/officeDocument/2006/relationships" name="Scale Maths" sheetId="6" state="visible" r:id="rId6"/>
  </sheets>
  <definedNames>
    <definedName name="_xlnm._FilterDatabase" localSheetId="2" hidden="1">'Findings'!$A$1:$T$91</definedName>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b val="1"/>
      <color rgb="001A3556"/>
      <sz val="18"/>
    </font>
    <font>
      <i val="1"/>
      <color rgb="0064748B"/>
      <sz val="11"/>
    </font>
    <font>
      <b val="1"/>
      <color rgb="00334155"/>
      <sz val="10"/>
    </font>
    <font>
      <sz val="10"/>
    </font>
    <font>
      <b val="1"/>
      <color rgb="001A3556"/>
      <sz val="12"/>
    </font>
    <font>
      <b val="1"/>
      <color rgb="00FFFFFF"/>
      <sz val="10.5"/>
    </font>
    <font>
      <sz val="9.5"/>
    </font>
    <font>
      <b val="1"/>
      <color rgb="009F1239"/>
      <sz val="9.5"/>
    </font>
    <font>
      <b val="1"/>
      <color rgb="001A3556"/>
      <sz val="9.5"/>
    </font>
    <font>
      <b val="1"/>
      <color rgb="009A4A06"/>
      <sz val="9.5"/>
    </font>
    <font>
      <b val="1"/>
      <color rgb="007A5B00"/>
      <sz val="9.5"/>
    </font>
    <font>
      <b val="1"/>
      <color rgb="0026602F"/>
      <sz val="9.5"/>
    </font>
    <font>
      <b val="1"/>
      <color rgb="001A3556"/>
      <sz val="16"/>
    </font>
    <font>
      <i val="1"/>
      <color rgb="0064748B"/>
      <sz val="10"/>
    </font>
    <font>
      <b val="1"/>
      <color rgb="001A3556"/>
      <sz val="11.5"/>
    </font>
    <font>
      <b val="1"/>
      <color rgb="00FFFFFF"/>
      <sz val="9"/>
    </font>
    <font>
      <b val="1"/>
      <color rgb="001A3556"/>
      <sz val="15"/>
    </font>
    <font>
      <b val="1"/>
      <color rgb="00FFFFFF"/>
      <sz val="10"/>
    </font>
    <font>
      <b val="1"/>
      <color rgb="00334155"/>
      <sz val="9.5"/>
    </font>
  </fonts>
  <fills count="15">
    <fill>
      <patternFill/>
    </fill>
    <fill>
      <patternFill patternType="gray125"/>
    </fill>
    <fill>
      <patternFill patternType="solid">
        <fgColor rgb="001A3556"/>
      </patternFill>
    </fill>
    <fill>
      <patternFill patternType="solid">
        <fgColor rgb="00FFD5DC"/>
      </patternFill>
    </fill>
    <fill>
      <patternFill patternType="solid">
        <fgColor rgb="00FFE2C7"/>
      </patternFill>
    </fill>
    <fill>
      <patternFill patternType="solid">
        <fgColor rgb="00FFF3C4"/>
      </patternFill>
    </fill>
    <fill>
      <patternFill patternType="solid">
        <fgColor rgb="00E3F0E1"/>
      </patternFill>
    </fill>
    <fill>
      <patternFill patternType="solid">
        <fgColor rgb="009F1239"/>
      </patternFill>
    </fill>
    <fill>
      <patternFill patternType="solid">
        <fgColor rgb="00C2410C"/>
      </patternFill>
    </fill>
    <fill>
      <patternFill patternType="solid">
        <fgColor rgb="00A16207"/>
      </patternFill>
    </fill>
    <fill>
      <patternFill patternType="solid">
        <fgColor rgb="0015803D"/>
      </patternFill>
    </fill>
    <fill>
      <patternFill patternType="solid">
        <fgColor rgb="0064748B"/>
      </patternFill>
    </fill>
    <fill>
      <patternFill patternType="solid">
        <fgColor rgb="001D4ED8"/>
      </patternFill>
    </fill>
    <fill>
      <patternFill patternType="solid">
        <fgColor rgb="006D28D9"/>
      </patternFill>
    </fill>
    <fill>
      <patternFill patternType="solid">
        <fgColor rgb="00C8A04A"/>
      </patternFill>
    </fill>
  </fills>
  <borders count="6">
    <border>
      <left/>
      <right/>
      <top/>
      <bottom/>
      <diagonal/>
    </border>
    <border>
      <left style="thin">
        <color rgb="00D9E0E8"/>
      </left>
      <right style="thin">
        <color rgb="00D9E0E8"/>
      </right>
      <top style="thin">
        <color rgb="00D9E0E8"/>
      </top>
      <bottom style="thin">
        <color rgb="00D9E0E8"/>
      </bottom>
    </border>
    <border>
      <left/>
      <right/>
      <top style="thin">
        <color rgb="00D9E0E8"/>
      </top>
      <bottom/>
      <diagonal/>
    </border>
    <border>
      <left/>
      <right style="thin">
        <color rgb="00D9E0E8"/>
      </right>
      <top style="thin">
        <color rgb="00D9E0E8"/>
      </top>
      <bottom/>
      <diagonal/>
    </border>
    <border>
      <left/>
      <right/>
      <top style="thin">
        <color rgb="00D9E0E8"/>
      </top>
      <bottom style="thin">
        <color rgb="00D9E0E8"/>
      </bottom>
      <diagonal/>
    </border>
    <border>
      <left/>
      <right style="thin">
        <color rgb="00D9E0E8"/>
      </right>
      <top style="thin">
        <color rgb="00D9E0E8"/>
      </top>
      <bottom style="thin">
        <color rgb="00D9E0E8"/>
      </bottom>
      <diagonal/>
    </border>
  </borders>
  <cellStyleXfs count="1">
    <xf numFmtId="0" fontId="0" fillId="0" borderId="0"/>
  </cellStyleXfs>
  <cellXfs count="4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13" fillId="0" borderId="0" pivotButton="0" quotePrefix="0" xfId="0"/>
    <xf numFmtId="0" fontId="14" fillId="0" borderId="0" pivotButton="0" quotePrefix="0" xfId="0"/>
    <xf numFmtId="0" fontId="15" fillId="0" borderId="0" pivotButton="0" quotePrefix="0" xfId="0"/>
    <xf numFmtId="0" fontId="16" fillId="7" borderId="1" applyAlignment="1" pivotButton="0" quotePrefix="0" xfId="0">
      <alignment horizontal="center"/>
    </xf>
    <xf numFmtId="0" fontId="16" fillId="8" borderId="1" applyAlignment="1" pivotButton="0" quotePrefix="0" xfId="0">
      <alignment horizontal="center"/>
    </xf>
    <xf numFmtId="0" fontId="16" fillId="9" borderId="1" applyAlignment="1" pivotButton="0" quotePrefix="0" xfId="0">
      <alignment horizontal="center"/>
    </xf>
    <xf numFmtId="0" fontId="16" fillId="10" borderId="1" applyAlignment="1" pivotButton="0" quotePrefix="0" xfId="0">
      <alignment horizontal="center"/>
    </xf>
    <xf numFmtId="0" fontId="16" fillId="2" borderId="1" applyAlignment="1" pivotButton="0" quotePrefix="0" xfId="0">
      <alignment horizontal="center"/>
    </xf>
    <xf numFmtId="0" fontId="17" fillId="0" borderId="1" applyAlignment="1" pivotButton="0" quotePrefix="0" xfId="0">
      <alignment horizontal="center"/>
    </xf>
    <xf numFmtId="0" fontId="16" fillId="11" borderId="1" applyAlignment="1" pivotButton="0" quotePrefix="0" xfId="0">
      <alignment horizontal="center"/>
    </xf>
    <xf numFmtId="0" fontId="16" fillId="12" borderId="1" applyAlignment="1" pivotButton="0" quotePrefix="0" xfId="0">
      <alignment horizontal="center"/>
    </xf>
    <xf numFmtId="0" fontId="16" fillId="13" borderId="1" applyAlignment="1" pivotButton="0" quotePrefix="0" xfId="0">
      <alignment horizontal="center"/>
    </xf>
    <xf numFmtId="0" fontId="16" fillId="14" borderId="1" applyAlignment="1" pivotButton="0" quotePrefix="0" xfId="0">
      <alignment horizontal="center"/>
    </xf>
    <xf numFmtId="9" fontId="17" fillId="0" borderId="1" applyAlignment="1" pivotButton="0" quotePrefix="0" xfId="0">
      <alignment horizontal="center"/>
    </xf>
    <xf numFmtId="0" fontId="16" fillId="2" borderId="1" pivotButton="0" quotePrefix="0" xfId="0"/>
    <xf numFmtId="0" fontId="7" fillId="0" borderId="1" pivotButton="0" quotePrefix="0" xfId="0"/>
    <xf numFmtId="0" fontId="7" fillId="0" borderId="1" applyAlignment="1" pivotButton="0" quotePrefix="0" xfId="0">
      <alignment horizontal="center"/>
    </xf>
    <xf numFmtId="0" fontId="0" fillId="0" borderId="4" pivotButton="0" quotePrefix="0" xfId="0"/>
    <xf numFmtId="0" fontId="0" fillId="0" borderId="5" pivotButton="0" quotePrefix="0" xfId="0"/>
    <xf numFmtId="0" fontId="7" fillId="3" borderId="1" applyAlignment="1" pivotButton="0" quotePrefix="0" xfId="0">
      <alignment horizontal="center"/>
    </xf>
    <xf numFmtId="0" fontId="7" fillId="0" borderId="1" applyAlignment="1" pivotButton="0" quotePrefix="0" xfId="0">
      <alignment vertical="center"/>
    </xf>
    <xf numFmtId="0" fontId="6" fillId="2" borderId="1" applyAlignment="1" pivotButton="0" quotePrefix="0" xfId="0">
      <alignment horizontal="left" vertical="center" wrapText="1"/>
    </xf>
    <xf numFmtId="0" fontId="9" fillId="0" borderId="1" applyAlignment="1" pivotButton="0" quotePrefix="0" xfId="0">
      <alignment vertical="top"/>
    </xf>
    <xf numFmtId="0" fontId="7" fillId="0" borderId="1" applyAlignment="1" pivotButton="0" quotePrefix="0" xfId="0">
      <alignment vertical="top"/>
    </xf>
    <xf numFmtId="0" fontId="8" fillId="3" borderId="1" applyAlignment="1" pivotButton="0" quotePrefix="0" xfId="0">
      <alignment horizontal="center" vertical="top"/>
    </xf>
    <xf numFmtId="0" fontId="7" fillId="0" borderId="1" applyAlignment="1" pivotButton="0" quotePrefix="0" xfId="0">
      <alignment horizontal="center" vertical="top"/>
    </xf>
    <xf numFmtId="0" fontId="7" fillId="0" borderId="1" applyAlignment="1" pivotButton="0" quotePrefix="0" xfId="0">
      <alignment vertical="top" wrapText="1"/>
    </xf>
    <xf numFmtId="0" fontId="10" fillId="4" borderId="1" applyAlignment="1" pivotButton="0" quotePrefix="0" xfId="0">
      <alignment horizontal="center" vertical="top"/>
    </xf>
    <xf numFmtId="0" fontId="11" fillId="5" borderId="1" applyAlignment="1" pivotButton="0" quotePrefix="0" xfId="0">
      <alignment horizontal="center" vertical="top"/>
    </xf>
    <xf numFmtId="0" fontId="12" fillId="6" borderId="1" applyAlignment="1" pivotButton="0" quotePrefix="0" xfId="0">
      <alignment horizontal="center" vertical="top"/>
    </xf>
    <xf numFmtId="0" fontId="8" fillId="0" borderId="1" applyAlignment="1" pivotButton="0" quotePrefix="0" xfId="0">
      <alignment horizontal="center" vertical="top"/>
    </xf>
    <xf numFmtId="9" fontId="7" fillId="0" borderId="1" applyAlignment="1" pivotButton="0" quotePrefix="0" xfId="0">
      <alignment horizontal="center"/>
    </xf>
    <xf numFmtId="0" fontId="17" fillId="0" borderId="0" pivotButton="0" quotePrefix="0" xfId="0"/>
    <xf numFmtId="0" fontId="18" fillId="2" borderId="1" applyAlignment="1" pivotButton="0" quotePrefix="0" xfId="0">
      <alignment horizontal="left" vertical="center"/>
    </xf>
    <xf numFmtId="0" fontId="19" fillId="0" borderId="1" applyAlignment="1" pivotButton="0" quotePrefix="0" xfId="0">
      <alignment vertical="top" wrapText="1"/>
    </xf>
    <xf numFmtId="0" fontId="7" fillId="0" borderId="1" applyAlignment="1" pivotButton="0" quotePrefix="0" xfId="0">
      <alignment horizontal="center" vertical="top" wrapText="1"/>
    </xf>
    <xf numFmtId="0" fontId="8" fillId="0" borderId="1" applyAlignment="1" pivotButton="0" quotePrefix="0" xfId="0">
      <alignment horizontal="center" vertical="top" wrapText="1"/>
    </xf>
  </cellXfs>
  <cellStyles count="1">
    <cellStyle name="Normal" xfId="0" builtinId="0" hidden="0"/>
  </cellStyles>
  <dxfs count="5">
    <dxf>
      <font>
        <b val="1"/>
        <color rgb="0015803D"/>
      </font>
      <fill>
        <patternFill patternType="solid">
          <fgColor rgb="00D7F0DC"/>
        </patternFill>
      </fill>
    </dxf>
    <dxf>
      <font>
        <b val="1"/>
        <color rgb="009F1239"/>
      </font>
      <fill>
        <patternFill patternType="solid">
          <fgColor rgb="00FFD5DC"/>
        </patternFill>
      </fill>
    </dxf>
    <dxf>
      <font>
        <b val="1"/>
        <color rgb="001D4ED8"/>
      </font>
      <fill>
        <patternFill patternType="solid">
          <fgColor rgb="00DBEAFE"/>
        </patternFill>
      </fill>
    </dxf>
    <dxf>
      <font>
        <b val="1"/>
        <color rgb="006D28D9"/>
      </font>
      <fill>
        <patternFill patternType="solid">
          <fgColor rgb="00EDE9FE"/>
        </patternFill>
      </fill>
    </dxf>
    <dxf>
      <font>
        <color rgb="0094A3B8"/>
        <sz val="9.5"/>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Findings by type</a:t>
            </a:r>
          </a:p>
        </rich>
      </tx>
    </title>
    <plotArea>
      <barChart>
        <barDir val="bar"/>
        <grouping val="clustered"/>
        <ser>
          <idx val="0"/>
          <order val="0"/>
          <tx>
            <strRef>
              <f>'Dashboard'!C19</f>
            </strRef>
          </tx>
          <spPr>
            <a:ln xmlns:a="http://schemas.openxmlformats.org/drawingml/2006/main">
              <a:prstDash val="solid"/>
            </a:ln>
          </spPr>
          <cat>
            <numRef>
              <f>'Dashboard'!$B$20:$B$29</f>
            </numRef>
          </cat>
          <val>
            <numRef>
              <f>'Dashboard'!$C$20:$C$29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18</row>
      <rowOff>0</rowOff>
    </from>
    <ext cx="504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C21"/>
  <sheetViews>
    <sheetView showGridLines="0" workbookViewId="0">
      <selection activeCell="A1" sqref="A1"/>
    </sheetView>
  </sheetViews>
  <sheetFormatPr baseColWidth="8" defaultRowHeight="15"/>
  <cols>
    <col width="3" customWidth="1" min="1" max="1"/>
    <col width="30" customWidth="1" min="2" max="2"/>
    <col width="110" customWidth="1" min="3" max="3"/>
  </cols>
  <sheetData>
    <row r="1" ht="26" customHeight="1">
      <c r="B1" s="1" t="inlineStr">
        <is>
          <t>Namma Kural — Scale-Readiness Audit</t>
        </is>
      </c>
    </row>
    <row r="2">
      <c r="B2" s="2" t="inlineStr">
        <is>
          <t>Branch phase1_flutter · target 100 MLA offices and 100,000 citizens</t>
        </is>
      </c>
    </row>
    <row r="4" ht="15" customHeight="1">
      <c r="B4" s="3" t="inlineStr">
        <is>
          <t>Audit date</t>
        </is>
      </c>
      <c r="C4" s="4" t="inlineStr">
        <is>
          <t>2026-09-17</t>
        </is>
      </c>
    </row>
    <row r="5" ht="15" customHeight="1">
      <c r="B5" s="3" t="inlineStr">
        <is>
          <t>Scope audited</t>
        </is>
      </c>
      <c r="C5" s="4" t="inlineStr">
        <is>
          <t>backend/ (4,570 LOC) · mobile/lib (16,034 LOC) · SQLite schema · frontend admin dashboard</t>
        </is>
      </c>
    </row>
    <row r="6" ht="15" customHeight="1">
      <c r="B6" s="3" t="inlineStr">
        <is>
          <t>Explicitly excluded</t>
        </is>
      </c>
      <c r="C6" s="4" t="inlineStr">
        <is>
          <t>PWA and the citizen/coordinator web frontend, except the admin dashboard</t>
        </is>
      </c>
    </row>
    <row r="7" ht="28" customHeight="1">
      <c r="B7" s="3" t="inlineStr">
        <is>
          <t>Method</t>
        </is>
      </c>
      <c r="C7" s="4" t="inlineStr">
        <is>
          <t>Line-by-line read of every backend module and router, the Flutter data/state/domain layers and screens, the live seed database schema, and the admin console data layer</t>
        </is>
      </c>
    </row>
    <row r="8" ht="15" customHeight="1">
      <c r="B8" s="3" t="inlineStr">
        <is>
          <t>Findings</t>
        </is>
      </c>
      <c r="C8" s="4" t="inlineStr">
        <is>
          <t>90 across 10 epics and 10 sprints</t>
        </is>
      </c>
    </row>
    <row r="10" ht="22" customHeight="1">
      <c r="B10" s="5" t="inlineStr">
        <is>
          <t>How to use this workbook</t>
        </is>
      </c>
    </row>
    <row r="11" ht="26" customHeight="1">
      <c r="B11" s="4" t="inlineStr">
        <is>
          <t>Findings is the working sheet — set Status and Owner there and everything else follows. Dashboard, Epics and Sprints read from it automatically, so they stay correct as the team updates Status.</t>
        </is>
      </c>
    </row>
    <row r="12" ht="15" customHeight="1">
      <c r="B12" s="4" t="inlineStr">
        <is>
          <t>Status values: Open, In Progress, Blocked, In Review, Done, Won't Fix. Pick from the dropdown so the rollups keep working.</t>
        </is>
      </c>
    </row>
    <row r="13" ht="26" customHeight="1">
      <c r="B13" s="4" t="inlineStr">
        <is>
          <t>Priority score = severity weight (Critical 100, High 60, Medium 30, Low 10) multiplied by likelihood (Certain 1.0, Likely 0.8, Possible 0.5, Unlikely 0.25). Sort on it when sequencing work inside a sprint.</t>
        </is>
      </c>
    </row>
    <row r="15" ht="22" customHeight="1">
      <c r="B15" s="5" t="inlineStr">
        <is>
          <t>The three things that decide the programme</t>
        </is>
      </c>
    </row>
    <row r="16" ht="26" customHeight="1">
      <c r="B16" s="4" t="inlineStr">
        <is>
          <t>1. Nothing is authenticated. Login mints no token; a caller asserts their identity in a form field. The entire coordinator surface is mounted with no auth dependency, and public grievance payloads carry every reporter's name and mobile number.</t>
        </is>
      </c>
    </row>
    <row r="17" ht="26" customHeight="1">
      <c r="B17" s="4" t="inlineStr">
        <is>
          <t>2. The data layer cannot reach this scale. One SQLite file, zero indexes on the issues table, every list query a full table scan, and the admin console downloads the whole table into the browser.</t>
        </is>
      </c>
    </row>
    <row r="18" ht="26" customHeight="1">
      <c r="B18" s="4" t="inlineStr">
        <is>
          <t>3. The system is built for 16 Chennai constituencies, not 100. Boundaries are Greater Chennai only, and a report outside them is refused outright — so 99 of the 100 target offices cannot receive a single grievance today.</t>
        </is>
      </c>
    </row>
    <row r="20" ht="22" customHeight="1">
      <c r="B20" s="5" t="inlineStr">
        <is>
          <t>What this audit did not do</t>
        </is>
      </c>
    </row>
    <row r="21" ht="26" customHeight="1">
      <c r="B21" s="4" t="inlineStr">
        <is>
          <t>No source file was modified and nothing was pushed. No penetration testing or live probing was performed against any deployed environment — every finding is from reading the code on this branch.</t>
        </is>
      </c>
    </row>
  </sheetData>
  <mergeCells count="12">
    <mergeCell ref="B13:C13"/>
    <mergeCell ref="B21:C21"/>
    <mergeCell ref="B2:C2"/>
    <mergeCell ref="B16:C16"/>
    <mergeCell ref="B15:C15"/>
    <mergeCell ref="B11:C11"/>
    <mergeCell ref="B20:C20"/>
    <mergeCell ref="B10:C10"/>
    <mergeCell ref="B17:C17"/>
    <mergeCell ref="B18:C18"/>
    <mergeCell ref="B1:C1"/>
    <mergeCell ref="B12:C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I48"/>
  <sheetViews>
    <sheetView showGridLines="0" workbookViewId="0">
      <selection activeCell="A1" sqref="A1"/>
    </sheetView>
  </sheetViews>
  <sheetFormatPr baseColWidth="8" defaultRowHeight="15"/>
  <cols>
    <col width="3" customWidth="1" min="1" max="1"/>
    <col width="26" customWidth="1" min="2" max="2"/>
    <col width="13" customWidth="1" min="3" max="3"/>
    <col width="13" customWidth="1" min="4" max="4"/>
    <col width="13" customWidth="1" min="5" max="5"/>
    <col width="13" customWidth="1" min="6" max="6"/>
    <col width="13" customWidth="1" min="7" max="7"/>
    <col width="4" customWidth="1" min="8" max="8"/>
    <col width="52" customWidth="1" min="9" max="9"/>
  </cols>
  <sheetData>
    <row r="2">
      <c r="B2" s="6" t="inlineStr">
        <is>
          <t>Audit Dashboard</t>
        </is>
      </c>
    </row>
    <row r="3">
      <c r="B3" s="7" t="inlineStr">
        <is>
          <t>Live counts — they update as Status changes on the Findings sheet.</t>
        </is>
      </c>
    </row>
    <row r="5">
      <c r="B5" s="8" t="inlineStr">
        <is>
          <t>By severity</t>
        </is>
      </c>
    </row>
    <row r="6">
      <c r="B6" s="9" t="inlineStr">
        <is>
          <t>Critical</t>
        </is>
      </c>
      <c r="C6" s="10" t="inlineStr">
        <is>
          <t>High</t>
        </is>
      </c>
      <c r="D6" s="11" t="inlineStr">
        <is>
          <t>Medium</t>
        </is>
      </c>
      <c r="E6" s="12" t="inlineStr">
        <is>
          <t>Low</t>
        </is>
      </c>
      <c r="F6" s="13" t="inlineStr">
        <is>
          <t>Total</t>
        </is>
      </c>
    </row>
    <row r="7" ht="26" customHeight="1">
      <c r="B7" s="14">
        <f>COUNTIF(Findings!$D$2:$D$91,"Critical")</f>
        <v/>
      </c>
      <c r="C7" s="14">
        <f>COUNTIF(Findings!$D$2:$D$91,"High")</f>
        <v/>
      </c>
      <c r="D7" s="14">
        <f>COUNTIF(Findings!$D$2:$D$91,"Medium")</f>
        <v/>
      </c>
      <c r="E7" s="14">
        <f>COUNTIF(Findings!$D$2:$D$91,"Low")</f>
        <v/>
      </c>
      <c r="F7" s="14">
        <f>COUNTA(Findings!$A$2:$A$91)</f>
        <v/>
      </c>
    </row>
    <row r="9">
      <c r="B9" s="8" t="inlineStr">
        <is>
          <t>By status</t>
        </is>
      </c>
    </row>
    <row r="10">
      <c r="B10" s="15" t="inlineStr">
        <is>
          <t>Open</t>
        </is>
      </c>
      <c r="C10" s="16" t="inlineStr">
        <is>
          <t>In Progress</t>
        </is>
      </c>
      <c r="D10" s="9" t="inlineStr">
        <is>
          <t>Blocked</t>
        </is>
      </c>
      <c r="E10" s="17" t="inlineStr">
        <is>
          <t>In Review</t>
        </is>
      </c>
      <c r="F10" s="12" t="inlineStr">
        <is>
          <t>Done</t>
        </is>
      </c>
    </row>
    <row r="11" ht="26" customHeight="1">
      <c r="B11" s="14">
        <f>COUNTIF(Findings!$Q$2:$Q$91,"Open")</f>
        <v/>
      </c>
      <c r="C11" s="14">
        <f>COUNTIF(Findings!$Q$2:$Q$91,"In Progress")</f>
        <v/>
      </c>
      <c r="D11" s="14">
        <f>COUNTIF(Findings!$Q$2:$Q$91,"Blocked")</f>
        <v/>
      </c>
      <c r="E11" s="14">
        <f>COUNTIF(Findings!$Q$2:$Q$91,"In Review")</f>
        <v/>
      </c>
      <c r="F11" s="14">
        <f>COUNTIF(Findings!$Q$2:$Q$91,"Done")</f>
        <v/>
      </c>
    </row>
    <row r="13">
      <c r="B13" s="8" t="inlineStr">
        <is>
          <t>Effort (person-days)</t>
        </is>
      </c>
    </row>
    <row r="14">
      <c r="B14" s="13" t="inlineStr">
        <is>
          <t>Total</t>
        </is>
      </c>
      <c r="C14" s="9" t="inlineStr">
        <is>
          <t>Critical</t>
        </is>
      </c>
      <c r="D14" s="10" t="inlineStr">
        <is>
          <t>Remaining</t>
        </is>
      </c>
      <c r="E14" s="12" t="inlineStr">
        <is>
          <t>Done</t>
        </is>
      </c>
      <c r="F14" s="18" t="inlineStr">
        <is>
          <t>% complete</t>
        </is>
      </c>
    </row>
    <row r="15" ht="26" customHeight="1">
      <c r="B15" s="14">
        <f>SUM(Findings!$P$2:$P$91)</f>
        <v/>
      </c>
      <c r="C15" s="14">
        <f>SUMIF(Findings!$D$2:$D$91,"Critical",Findings!$P$2:$P$91)</f>
        <v/>
      </c>
      <c r="D15" s="14">
        <f>SUMIFS(Findings!$P$2:$P$91,Findings!$Q$2:$Q$91,"&lt;&gt;Done")</f>
        <v/>
      </c>
      <c r="E15" s="14">
        <f>SUMIFS(Findings!$P$2:$P$91,Findings!$Q$2:$Q$91,"Done")</f>
        <v/>
      </c>
      <c r="F15" s="19">
        <f>IF(B15=0,0,E15/B15)</f>
        <v/>
      </c>
    </row>
    <row r="18">
      <c r="B18" s="8" t="inlineStr">
        <is>
          <t>By finding type</t>
        </is>
      </c>
    </row>
    <row r="19">
      <c r="B19" s="20" t="inlineStr">
        <is>
          <t>Type</t>
        </is>
      </c>
      <c r="C19" s="20" t="inlineStr">
        <is>
          <t>Count</t>
        </is>
      </c>
    </row>
    <row r="20">
      <c r="B20" s="21" t="inlineStr">
        <is>
          <t>Compliance</t>
        </is>
      </c>
      <c r="C20" s="22" t="n">
        <v>6</v>
      </c>
    </row>
    <row r="21">
      <c r="B21" s="21" t="inlineStr">
        <is>
          <t>Correctness</t>
        </is>
      </c>
      <c r="C21" s="22" t="n">
        <v>10</v>
      </c>
    </row>
    <row r="22">
      <c r="B22" s="21" t="inlineStr">
        <is>
          <t>Cost</t>
        </is>
      </c>
      <c r="C22" s="22" t="n">
        <v>4</v>
      </c>
    </row>
    <row r="23">
      <c r="B23" s="21" t="inlineStr">
        <is>
          <t>Maintainability</t>
        </is>
      </c>
      <c r="C23" s="22" t="n">
        <v>3</v>
      </c>
    </row>
    <row r="24">
      <c r="B24" s="21" t="inlineStr">
        <is>
          <t>Performance</t>
        </is>
      </c>
      <c r="C24" s="22" t="n">
        <v>17</v>
      </c>
    </row>
    <row r="25">
      <c r="B25" s="21" t="inlineStr">
        <is>
          <t>Privacy</t>
        </is>
      </c>
      <c r="C25" s="22" t="n">
        <v>3</v>
      </c>
    </row>
    <row r="26">
      <c r="B26" s="21" t="inlineStr">
        <is>
          <t>Quality</t>
        </is>
      </c>
      <c r="C26" s="22" t="n">
        <v>2</v>
      </c>
    </row>
    <row r="27">
      <c r="B27" s="21" t="inlineStr">
        <is>
          <t>Reliability</t>
        </is>
      </c>
      <c r="C27" s="22" t="n">
        <v>8</v>
      </c>
    </row>
    <row r="28">
      <c r="B28" s="21" t="inlineStr">
        <is>
          <t>Scalability</t>
        </is>
      </c>
      <c r="C28" s="22" t="n">
        <v>10</v>
      </c>
    </row>
    <row r="29">
      <c r="B29" s="21" t="inlineStr">
        <is>
          <t>Security</t>
        </is>
      </c>
      <c r="C29" s="22" t="n">
        <v>27</v>
      </c>
    </row>
    <row r="32">
      <c r="B32" s="8" t="inlineStr">
        <is>
          <t>Highest-priority findings</t>
        </is>
      </c>
    </row>
    <row r="33">
      <c r="B33" s="20" t="inlineStr">
        <is>
          <t>ID</t>
        </is>
      </c>
      <c r="C33" s="20" t="inlineStr">
        <is>
          <t>Severity</t>
        </is>
      </c>
      <c r="D33" s="20" t="inlineStr">
        <is>
          <t>Score</t>
        </is>
      </c>
      <c r="E33" s="20" t="inlineStr">
        <is>
          <t>Finding</t>
        </is>
      </c>
      <c r="F33" s="23" t="n"/>
      <c r="G33" s="23" t="n"/>
      <c r="H33" s="23" t="n"/>
      <c r="I33" s="24" t="n"/>
    </row>
    <row r="34">
      <c r="B34" s="21" t="inlineStr">
        <is>
          <t>F001</t>
        </is>
      </c>
      <c r="C34" s="25" t="inlineStr">
        <is>
          <t>Critical</t>
        </is>
      </c>
      <c r="D34" s="22" t="n">
        <v>100</v>
      </c>
      <c r="E34" s="26" t="inlineStr">
        <is>
          <t>Login issues no session token — the entire API is unauthenticated</t>
        </is>
      </c>
      <c r="F34" s="23" t="n"/>
      <c r="G34" s="23" t="n"/>
      <c r="H34" s="23" t="n"/>
      <c r="I34" s="24" t="n"/>
    </row>
    <row r="35">
      <c r="B35" s="21" t="inlineStr">
        <is>
          <t>F002</t>
        </is>
      </c>
      <c r="C35" s="25" t="inlineStr">
        <is>
          <t>Critical</t>
        </is>
      </c>
      <c r="D35" s="22" t="n">
        <v>100</v>
      </c>
      <c r="E35" s="26" t="inlineStr">
        <is>
          <t>Coordinator router mounted with no auth dependency</t>
        </is>
      </c>
      <c r="F35" s="23" t="n"/>
      <c r="G35" s="23" t="n"/>
      <c r="H35" s="23" t="n"/>
      <c r="I35" s="24" t="n"/>
    </row>
    <row r="36">
      <c r="B36" s="21" t="inlineStr">
        <is>
          <t>F003</t>
        </is>
      </c>
      <c r="C36" s="25" t="inlineStr">
        <is>
          <t>Critical</t>
        </is>
      </c>
      <c r="D36" s="22" t="n">
        <v>100</v>
      </c>
      <c r="E36" s="26" t="inlineStr">
        <is>
          <t>_authorize() returns early when the coordinator field is blank</t>
        </is>
      </c>
      <c r="F36" s="23" t="n"/>
      <c r="G36" s="23" t="n"/>
      <c r="H36" s="23" t="n"/>
      <c r="I36" s="24" t="n"/>
    </row>
    <row r="37">
      <c r="B37" s="21" t="inlineStr">
        <is>
          <t>F014</t>
        </is>
      </c>
      <c r="C37" s="25" t="inlineStr">
        <is>
          <t>Critical</t>
        </is>
      </c>
      <c r="D37" s="22" t="n">
        <v>100</v>
      </c>
      <c r="E37" s="26" t="inlineStr">
        <is>
          <t>serialize_issue returns the reporter's phone, name and account id on public endpoints</t>
        </is>
      </c>
      <c r="F37" s="23" t="n"/>
      <c r="G37" s="23" t="n"/>
      <c r="H37" s="23" t="n"/>
      <c r="I37" s="24" t="n"/>
    </row>
    <row r="38">
      <c r="B38" s="21" t="inlineStr">
        <is>
          <t>F015</t>
        </is>
      </c>
      <c r="C38" s="25" t="inlineStr">
        <is>
          <t>Critical</t>
        </is>
      </c>
      <c r="D38" s="22" t="n">
        <v>100</v>
      </c>
      <c r="E38" s="26" t="inlineStr">
        <is>
          <t>Single shared admin account with a default password in source</t>
        </is>
      </c>
      <c r="F38" s="23" t="n"/>
      <c r="G38" s="23" t="n"/>
      <c r="H38" s="23" t="n"/>
      <c r="I38" s="24" t="n"/>
    </row>
    <row r="39">
      <c r="B39" s="21" t="inlineStr">
        <is>
          <t>F018</t>
        </is>
      </c>
      <c r="C39" s="25" t="inlineStr">
        <is>
          <t>Critical</t>
        </is>
      </c>
      <c r="D39" s="22" t="n">
        <v>100</v>
      </c>
      <c r="E39" s="26" t="inlineStr">
        <is>
          <t>Single-file SQLite on one volume is the whole datastore</t>
        </is>
      </c>
      <c r="F39" s="23" t="n"/>
      <c r="G39" s="23" t="n"/>
      <c r="H39" s="23" t="n"/>
      <c r="I39" s="24" t="n"/>
    </row>
    <row r="40">
      <c r="B40" s="21" t="inlineStr">
        <is>
          <t>F019</t>
        </is>
      </c>
      <c r="C40" s="25" t="inlineStr">
        <is>
          <t>Critical</t>
        </is>
      </c>
      <c r="D40" s="22" t="n">
        <v>100</v>
      </c>
      <c r="E40" s="26" t="inlineStr">
        <is>
          <t>Zero indexes on the issues table</t>
        </is>
      </c>
      <c r="F40" s="23" t="n"/>
      <c r="G40" s="23" t="n"/>
      <c r="H40" s="23" t="n"/>
      <c r="I40" s="24" t="n"/>
    </row>
    <row r="41">
      <c r="B41" s="21" t="inlineStr">
        <is>
          <t>F027</t>
        </is>
      </c>
      <c r="C41" s="25" t="inlineStr">
        <is>
          <t>Critical</t>
        </is>
      </c>
      <c r="D41" s="22" t="n">
        <v>100</v>
      </c>
      <c r="E41" s="26" t="inlineStr">
        <is>
          <t>GET /api/admin/issues returns the entire table with no pagination</t>
        </is>
      </c>
      <c r="F41" s="23" t="n"/>
      <c r="G41" s="23" t="n"/>
      <c r="H41" s="23" t="n"/>
      <c r="I41" s="24" t="n"/>
    </row>
    <row r="42">
      <c r="B42" s="21" t="inlineStr">
        <is>
          <t>F028</t>
        </is>
      </c>
      <c r="C42" s="25" t="inlineStr">
        <is>
          <t>Critical</t>
        </is>
      </c>
      <c r="D42" s="22" t="n">
        <v>100</v>
      </c>
      <c r="E42" s="26" t="inlineStr">
        <is>
          <t>/api/issues/nearby scans every non-SUBMITTED row and computes Haversine in Python</t>
        </is>
      </c>
      <c r="F42" s="23" t="n"/>
      <c r="G42" s="23" t="n"/>
      <c r="H42" s="23" t="n"/>
      <c r="I42" s="24" t="n"/>
    </row>
    <row r="43">
      <c r="B43" s="21" t="inlineStr">
        <is>
          <t>F029</t>
        </is>
      </c>
      <c r="C43" s="25" t="inlineStr">
        <is>
          <t>Critical</t>
        </is>
      </c>
      <c r="D43" s="22" t="n">
        <v>100</v>
      </c>
      <c r="E43" s="26" t="inlineStr">
        <is>
          <t>Blocking Gemini and geocoding calls inside an async endpoint block the event loop</t>
        </is>
      </c>
      <c r="F43" s="23" t="n"/>
      <c r="G43" s="23" t="n"/>
      <c r="H43" s="23" t="n"/>
      <c r="I43" s="24" t="n"/>
    </row>
    <row r="44">
      <c r="B44" s="21" t="inlineStr">
        <is>
          <t>F031</t>
        </is>
      </c>
      <c r="C44" s="25" t="inlineStr">
        <is>
          <t>Critical</t>
        </is>
      </c>
      <c r="D44" s="22" t="n">
        <v>100</v>
      </c>
      <c r="E44" s="26" t="inlineStr">
        <is>
          <t>coordinator-performance is an N+1 that scans the issues table once per coordinator</t>
        </is>
      </c>
      <c r="F44" s="23" t="n"/>
      <c r="G44" s="23" t="n"/>
      <c r="H44" s="23" t="n"/>
      <c r="I44" s="24" t="n"/>
    </row>
    <row r="45">
      <c r="B45" s="21" t="inlineStr">
        <is>
          <t>F036</t>
        </is>
      </c>
      <c r="C45" s="25" t="inlineStr">
        <is>
          <t>Critical</t>
        </is>
      </c>
      <c r="D45" s="22" t="n">
        <v>100</v>
      </c>
      <c r="E45" s="26" t="inlineStr">
        <is>
          <t>Uploaded media lives on a local volume, not object storage</t>
        </is>
      </c>
      <c r="F45" s="23" t="n"/>
      <c r="G45" s="23" t="n"/>
      <c r="H45" s="23" t="n"/>
      <c r="I45" s="24" t="n"/>
    </row>
    <row r="46">
      <c r="B46" s="21" t="inlineStr">
        <is>
          <t>F045</t>
        </is>
      </c>
      <c r="C46" s="25" t="inlineStr">
        <is>
          <t>Critical</t>
        </is>
      </c>
      <c r="D46" s="22" t="n">
        <v>100</v>
      </c>
      <c r="E46" s="26" t="inlineStr">
        <is>
          <t>Every device polls notifications every 15 seconds</t>
        </is>
      </c>
      <c r="F46" s="23" t="n"/>
      <c r="G46" s="23" t="n"/>
      <c r="H46" s="23" t="n"/>
      <c r="I46" s="24" t="n"/>
    </row>
    <row r="47">
      <c r="B47" s="21" t="inlineStr">
        <is>
          <t>F046</t>
        </is>
      </c>
      <c r="C47" s="25" t="inlineStr">
        <is>
          <t>Critical</t>
        </is>
      </c>
      <c r="D47" s="22" t="n">
        <v>100</v>
      </c>
      <c r="E47" s="26" t="inlineStr">
        <is>
          <t>A second poller runs every 20 seconds and ignores the cursor</t>
        </is>
      </c>
      <c r="F47" s="23" t="n"/>
      <c r="G47" s="23" t="n"/>
      <c r="H47" s="23" t="n"/>
      <c r="I47" s="24" t="n"/>
    </row>
    <row r="48">
      <c r="B48" s="21" t="inlineStr">
        <is>
          <t>F051</t>
        </is>
      </c>
      <c r="C48" s="25" t="inlineStr">
        <is>
          <t>Critical</t>
        </is>
      </c>
      <c r="D48" s="22" t="n">
        <v>100</v>
      </c>
      <c r="E48" s="26" t="inlineStr">
        <is>
          <t>Constituency map is hardcoded to 16 Chennai assembly constituencies</t>
        </is>
      </c>
      <c r="F48" s="23" t="n"/>
      <c r="G48" s="23" t="n"/>
      <c r="H48" s="23" t="n"/>
      <c r="I48" s="24" t="n"/>
    </row>
  </sheetData>
  <mergeCells count="16">
    <mergeCell ref="E44:I44"/>
    <mergeCell ref="E34:I34"/>
    <mergeCell ref="E35:I35"/>
    <mergeCell ref="E43:I43"/>
    <mergeCell ref="E38:I38"/>
    <mergeCell ref="E46:I46"/>
    <mergeCell ref="E42:I42"/>
    <mergeCell ref="E41:I41"/>
    <mergeCell ref="E33:I33"/>
    <mergeCell ref="E45:I45"/>
    <mergeCell ref="E37:I37"/>
    <mergeCell ref="E36:I36"/>
    <mergeCell ref="E39:I39"/>
    <mergeCell ref="E47:I47"/>
    <mergeCell ref="E48:I48"/>
    <mergeCell ref="E40:I40"/>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T91"/>
  <sheetViews>
    <sheetView workbookViewId="0">
      <pane ySplit="1" topLeftCell="A2" activePane="bottomLeft" state="frozen"/>
      <selection pane="bottomLeft" activeCell="A1" sqref="A1"/>
    </sheetView>
  </sheetViews>
  <sheetFormatPr baseColWidth="8" defaultRowHeight="15"/>
  <cols>
    <col width="7" customWidth="1" min="1" max="1"/>
    <col width="6" customWidth="1" min="2" max="2"/>
    <col width="7" customWidth="1" min="3" max="3"/>
    <col width="10" customWidth="1" min="4" max="4"/>
    <col width="11" customWidth="1" min="5" max="5"/>
    <col width="9" customWidth="1" min="6" max="6"/>
    <col width="14" customWidth="1" min="7" max="7"/>
    <col width="16" customWidth="1" min="8" max="8"/>
    <col width="16" customWidth="1" min="9" max="9"/>
    <col width="44" customWidth="1" min="10" max="10"/>
    <col width="10" customWidth="1" min="11" max="11"/>
    <col width="46" customWidth="1" min="12" max="12"/>
    <col width="66" customWidth="1" min="13" max="13"/>
    <col width="66" customWidth="1" min="14" max="14"/>
    <col width="66" customWidth="1" min="15" max="15"/>
    <col width="12" customWidth="1" min="16" max="16"/>
    <col width="13" customWidth="1" min="17" max="17"/>
    <col width="14" customWidth="1" min="18" max="18"/>
    <col width="12" customWidth="1" min="19" max="19"/>
    <col width="24" customWidth="1" min="20" max="20"/>
  </cols>
  <sheetData>
    <row r="1" ht="30" customHeight="1">
      <c r="A1" s="27" t="inlineStr">
        <is>
          <t>ID</t>
        </is>
      </c>
      <c r="B1" s="27" t="inlineStr">
        <is>
          <t>Epic</t>
        </is>
      </c>
      <c r="C1" s="27" t="inlineStr">
        <is>
          <t>Sprint</t>
        </is>
      </c>
      <c r="D1" s="27" t="inlineStr">
        <is>
          <t>Severity</t>
        </is>
      </c>
      <c r="E1" s="27" t="inlineStr">
        <is>
          <t>Likelihood</t>
        </is>
      </c>
      <c r="F1" s="27" t="inlineStr">
        <is>
          <t>Priority</t>
        </is>
      </c>
      <c r="G1" s="27" t="inlineStr">
        <is>
          <t>Type</t>
        </is>
      </c>
      <c r="H1" s="27" t="inlineStr">
        <is>
          <t>Area</t>
        </is>
      </c>
      <c r="I1" s="27" t="inlineStr">
        <is>
          <t>Component</t>
        </is>
      </c>
      <c r="J1" s="27" t="inlineStr">
        <is>
          <t>File</t>
        </is>
      </c>
      <c r="K1" s="27" t="inlineStr">
        <is>
          <t>Line</t>
        </is>
      </c>
      <c r="L1" s="27" t="inlineStr">
        <is>
          <t>Finding</t>
        </is>
      </c>
      <c r="M1" s="27" t="inlineStr">
        <is>
          <t>Detail</t>
        </is>
      </c>
      <c r="N1" s="27" t="inlineStr">
        <is>
          <t>Impact at 100 MLA / 1 lakh citizens</t>
        </is>
      </c>
      <c r="O1" s="27" t="inlineStr">
        <is>
          <t>Recommendation</t>
        </is>
      </c>
      <c r="P1" s="27" t="inlineStr">
        <is>
          <t>Effort (days)</t>
        </is>
      </c>
      <c r="Q1" s="27" t="inlineStr">
        <is>
          <t>Status</t>
        </is>
      </c>
      <c r="R1" s="27" t="inlineStr">
        <is>
          <t>Owner</t>
        </is>
      </c>
      <c r="S1" s="27" t="inlineStr">
        <is>
          <t>Target date</t>
        </is>
      </c>
      <c r="T1" s="27" t="inlineStr">
        <is>
          <t>Notes</t>
        </is>
      </c>
    </row>
    <row r="2" ht="78" customHeight="1">
      <c r="A2" s="28" t="inlineStr">
        <is>
          <t>F001</t>
        </is>
      </c>
      <c r="B2" s="29" t="inlineStr">
        <is>
          <t>E1</t>
        </is>
      </c>
      <c r="C2" s="29" t="inlineStr">
        <is>
          <t>S1</t>
        </is>
      </c>
      <c r="D2" s="30" t="inlineStr">
        <is>
          <t>Critical</t>
        </is>
      </c>
      <c r="E2" s="29" t="inlineStr">
        <is>
          <t>Certain</t>
        </is>
      </c>
      <c r="F2" s="31" t="n">
        <v>100</v>
      </c>
      <c r="G2" s="29" t="inlineStr">
        <is>
          <t>Security</t>
        </is>
      </c>
      <c r="H2" s="29" t="inlineStr">
        <is>
          <t>Backend</t>
        </is>
      </c>
      <c r="I2" s="29" t="inlineStr">
        <is>
          <t>Auth</t>
        </is>
      </c>
      <c r="J2" s="29" t="inlineStr">
        <is>
          <t>backend/routers/auth.py</t>
        </is>
      </c>
      <c r="K2" s="29" t="inlineStr">
        <is>
          <t>149-190</t>
        </is>
      </c>
      <c r="L2" s="32" t="inlineStr">
        <is>
          <t>Login issues no session token — the entire API is unauthenticated</t>
        </is>
      </c>
      <c r="M2" s="32" t="inlineStr">
        <is>
          <t>POST /api/auth/login and /api/auth/coordinator/login both return a plain profile JSON. No token, cookie, JWT or session is ever minted. Every subsequent call identifies the caller by a user_id or coordinator username sent as a form field.</t>
        </is>
      </c>
      <c r="N2" s="32" t="inlineStr">
        <is>
          <t>Any person with the API base URL can act as any citizen or any coordinator. With 100k accounts and 100 MLA offices this is a total authorisation bypass across the whole product.</t>
        </is>
      </c>
      <c r="O2" s="32" t="inlineStr">
        <is>
          <t>Mint a short-lived signed access token at login (JWT or the existing HMAC scheme from admin_auth.py), return it, require it on every non-public route, and derive the actor identity from the token — never from a request field.</t>
        </is>
      </c>
      <c r="P2" s="31" t="n">
        <v>8</v>
      </c>
      <c r="Q2" s="29" t="inlineStr">
        <is>
          <t>Open</t>
        </is>
      </c>
      <c r="R2" s="29" t="inlineStr"/>
      <c r="S2" s="29" t="inlineStr"/>
      <c r="T2" s="32" t="inlineStr"/>
    </row>
    <row r="3" ht="78" customHeight="1">
      <c r="A3" s="28" t="inlineStr">
        <is>
          <t>F002</t>
        </is>
      </c>
      <c r="B3" s="29" t="inlineStr">
        <is>
          <t>E1</t>
        </is>
      </c>
      <c r="C3" s="29" t="inlineStr">
        <is>
          <t>S1</t>
        </is>
      </c>
      <c r="D3" s="30" t="inlineStr">
        <is>
          <t>Critical</t>
        </is>
      </c>
      <c r="E3" s="29" t="inlineStr">
        <is>
          <t>Certain</t>
        </is>
      </c>
      <c r="F3" s="31" t="n">
        <v>100</v>
      </c>
      <c r="G3" s="29" t="inlineStr">
        <is>
          <t>Security</t>
        </is>
      </c>
      <c r="H3" s="29" t="inlineStr">
        <is>
          <t>Backend</t>
        </is>
      </c>
      <c r="I3" s="29" t="inlineStr">
        <is>
          <t>Coordinator API</t>
        </is>
      </c>
      <c r="J3" s="29" t="inlineStr">
        <is>
          <t>backend/main.py</t>
        </is>
      </c>
      <c r="K3" s="29" t="inlineStr">
        <is>
          <t>225</t>
        </is>
      </c>
      <c r="L3" s="32" t="inlineStr">
        <is>
          <t>Coordinator router mounted with no auth dependency</t>
        </is>
      </c>
      <c r="M3" s="32" t="inlineStr">
        <is>
          <t>app.include_router(coordinator.router) has no Depends(require_*). Every endpoint under /api/coordinator — verify, transfer, escalate, redirect, close, mark_false, ward listing, timeline — is publicly reachable.</t>
        </is>
      </c>
      <c r="N3" s="32" t="inlineStr">
        <is>
          <t>Anyone can drive any grievance in any ward through its entire lifecycle, close tickets with fake evidence, or mark real complaints as false petitions. At 100 constituencies this destroys the integrity of the whole redressal record.</t>
        </is>
      </c>
      <c r="O3" s="32" t="inlineStr">
        <is>
          <t>Gate the router with a coordinator-token dependency the same way the admin router is gated, and resolve the acting coordinator from the token.</t>
        </is>
      </c>
      <c r="P3" s="31" t="n">
        <v>3</v>
      </c>
      <c r="Q3" s="29" t="inlineStr">
        <is>
          <t>Open</t>
        </is>
      </c>
      <c r="R3" s="29" t="inlineStr"/>
      <c r="S3" s="29" t="inlineStr"/>
      <c r="T3" s="32" t="inlineStr"/>
    </row>
    <row r="4" ht="78" customHeight="1">
      <c r="A4" s="28" t="inlineStr">
        <is>
          <t>F003</t>
        </is>
      </c>
      <c r="B4" s="29" t="inlineStr">
        <is>
          <t>E1</t>
        </is>
      </c>
      <c r="C4" s="29" t="inlineStr">
        <is>
          <t>S1</t>
        </is>
      </c>
      <c r="D4" s="30" t="inlineStr">
        <is>
          <t>Critical</t>
        </is>
      </c>
      <c r="E4" s="29" t="inlineStr">
        <is>
          <t>Certain</t>
        </is>
      </c>
      <c r="F4" s="31" t="n">
        <v>100</v>
      </c>
      <c r="G4" s="29" t="inlineStr">
        <is>
          <t>Security</t>
        </is>
      </c>
      <c r="H4" s="29" t="inlineStr">
        <is>
          <t>Backend</t>
        </is>
      </c>
      <c r="I4" s="29" t="inlineStr">
        <is>
          <t>Coordinator API</t>
        </is>
      </c>
      <c r="J4" s="29" t="inlineStr">
        <is>
          <t>backend/routers/coordinator.py</t>
        </is>
      </c>
      <c r="K4" s="29" t="inlineStr">
        <is>
          <t>76-98</t>
        </is>
      </c>
      <c r="L4" s="32" t="inlineStr">
        <is>
          <t>_authorize() returns early when the coordinator field is blank</t>
        </is>
      </c>
      <c r="M4" s="32" t="inlineStr">
        <is>
          <t>The guard opens with: who = (coordinator or '').strip(); if not who: return. It is documented as back-compat for older APKs that send nothing.</t>
        </is>
      </c>
      <c r="N4" s="32" t="inlineStr">
        <is>
          <t>The only ownership check in the coordinator surface is bypassed by omitting one form field. Every action endpoint is fully open even to a caller who knows nothing about the system.</t>
        </is>
      </c>
      <c r="O4" s="32" t="inlineStr">
        <is>
          <t>Make the actor mandatory and read it from the token. Force-upgrade old APK builds with a minimum-version gate rather than keeping the hole open.</t>
        </is>
      </c>
      <c r="P4" s="31" t="n">
        <v>2</v>
      </c>
      <c r="Q4" s="29" t="inlineStr">
        <is>
          <t>Open</t>
        </is>
      </c>
      <c r="R4" s="29" t="inlineStr"/>
      <c r="S4" s="29" t="inlineStr"/>
      <c r="T4" s="32" t="inlineStr"/>
    </row>
    <row r="5" ht="78" customHeight="1">
      <c r="A5" s="28" t="inlineStr">
        <is>
          <t>F014</t>
        </is>
      </c>
      <c r="B5" s="29" t="inlineStr">
        <is>
          <t>E6</t>
        </is>
      </c>
      <c r="C5" s="29" t="inlineStr">
        <is>
          <t>S1</t>
        </is>
      </c>
      <c r="D5" s="30" t="inlineStr">
        <is>
          <t>Critical</t>
        </is>
      </c>
      <c r="E5" s="29" t="inlineStr">
        <is>
          <t>Certain</t>
        </is>
      </c>
      <c r="F5" s="31" t="n">
        <v>100</v>
      </c>
      <c r="G5" s="29" t="inlineStr">
        <is>
          <t>Privacy</t>
        </is>
      </c>
      <c r="H5" s="29" t="inlineStr">
        <is>
          <t>Backend</t>
        </is>
      </c>
      <c r="I5" s="29" t="inlineStr">
        <is>
          <t>Serialization</t>
        </is>
      </c>
      <c r="J5" s="29" t="inlineStr">
        <is>
          <t>backend/utils.py</t>
        </is>
      </c>
      <c r="K5" s="29" t="inlineStr">
        <is>
          <t>163-187</t>
        </is>
      </c>
      <c r="L5" s="32" t="inlineStr">
        <is>
          <t>serialize_issue returns the reporter's phone, name and account id on public endpoints</t>
        </is>
      </c>
      <c r="M5" s="32" t="inlineStr">
        <is>
          <t>serialize_issue does dict(row) over the whole issues row, which includes phone, name and created_by, and is used by the unauthenticated GET /api/issues/ward/{n}, /nearby and /supported/{id}.</t>
        </is>
      </c>
      <c r="N5" s="32" t="inlineStr">
        <is>
          <t>Anyone can harvest the name, mobile number and account id of every citizen who has ever reported a grievance. At 100k citizens this is a mass personal-data breach and a DPDP Act 2023 violation with real penalty exposure.</t>
        </is>
      </c>
      <c r="O5" s="32" t="inlineStr">
        <is>
          <t>Split into a public projection (no phone, no name, no created_by) and an internal one. Default to the public shape and opt in explicitly on authenticated staff routes.</t>
        </is>
      </c>
      <c r="P5" s="31" t="n">
        <v>2</v>
      </c>
      <c r="Q5" s="29" t="inlineStr">
        <is>
          <t>Open</t>
        </is>
      </c>
      <c r="R5" s="29" t="inlineStr"/>
      <c r="S5" s="29" t="inlineStr"/>
      <c r="T5" s="32" t="inlineStr"/>
    </row>
    <row r="6" ht="78" customHeight="1">
      <c r="A6" s="28" t="inlineStr">
        <is>
          <t>F015</t>
        </is>
      </c>
      <c r="B6" s="29" t="inlineStr">
        <is>
          <t>E1</t>
        </is>
      </c>
      <c r="C6" s="29" t="inlineStr">
        <is>
          <t>S2</t>
        </is>
      </c>
      <c r="D6" s="30" t="inlineStr">
        <is>
          <t>Critical</t>
        </is>
      </c>
      <c r="E6" s="29" t="inlineStr">
        <is>
          <t>Certain</t>
        </is>
      </c>
      <c r="F6" s="31" t="n">
        <v>100</v>
      </c>
      <c r="G6" s="29" t="inlineStr">
        <is>
          <t>Security</t>
        </is>
      </c>
      <c r="H6" s="29" t="inlineStr">
        <is>
          <t>Backend</t>
        </is>
      </c>
      <c r="I6" s="29" t="inlineStr">
        <is>
          <t>Admin</t>
        </is>
      </c>
      <c r="J6" s="29" t="inlineStr">
        <is>
          <t>backend/admin_auth.py</t>
        </is>
      </c>
      <c r="K6" s="29" t="inlineStr">
        <is>
          <t>36</t>
        </is>
      </c>
      <c r="L6" s="32" t="inlineStr">
        <is>
          <t>Single shared admin account with a default password in source</t>
        </is>
      </c>
      <c r="M6" s="32" t="inlineStr">
        <is>
          <t>ADMIN_PASSWORD defaults to 'nammakural'. One username serves the whole console; there is no per-office account and no roles.</t>
        </is>
      </c>
      <c r="N6" s="32" t="inlineStr">
        <is>
          <t>100 MLA offices would share one credential. No office can be revoked individually, and nothing records which office performed which action.</t>
        </is>
      </c>
      <c r="O6" s="32" t="inlineStr">
        <is>
          <t>Per-office admin accounts with hashed passwords and roles, bound to a constituency. Remove the default password; refuse to boot without one set.</t>
        </is>
      </c>
      <c r="P6" s="31" t="n">
        <v>5</v>
      </c>
      <c r="Q6" s="29" t="inlineStr">
        <is>
          <t>Open</t>
        </is>
      </c>
      <c r="R6" s="29" t="inlineStr"/>
      <c r="S6" s="29" t="inlineStr"/>
      <c r="T6" s="32" t="inlineStr"/>
    </row>
    <row r="7" ht="78" customHeight="1">
      <c r="A7" s="28" t="inlineStr">
        <is>
          <t>F018</t>
        </is>
      </c>
      <c r="B7" s="29" t="inlineStr">
        <is>
          <t>E2</t>
        </is>
      </c>
      <c r="C7" s="29" t="inlineStr">
        <is>
          <t>S3</t>
        </is>
      </c>
      <c r="D7" s="30" t="inlineStr">
        <is>
          <t>Critical</t>
        </is>
      </c>
      <c r="E7" s="29" t="inlineStr">
        <is>
          <t>Certain</t>
        </is>
      </c>
      <c r="F7" s="31" t="n">
        <v>100</v>
      </c>
      <c r="G7" s="29" t="inlineStr">
        <is>
          <t>Scalability</t>
        </is>
      </c>
      <c r="H7" s="29" t="inlineStr">
        <is>
          <t>Database</t>
        </is>
      </c>
      <c r="I7" s="29" t="inlineStr">
        <is>
          <t>Engine</t>
        </is>
      </c>
      <c r="J7" s="29" t="inlineStr">
        <is>
          <t>backend/database.py</t>
        </is>
      </c>
      <c r="K7" s="29" t="inlineStr">
        <is>
          <t>11-22</t>
        </is>
      </c>
      <c r="L7" s="32" t="inlineStr">
        <is>
          <t>Single-file SQLite on one volume is the whole datastore</t>
        </is>
      </c>
      <c r="M7" s="32" t="inlineStr">
        <is>
          <t>DB_PATH resolves to a single SQLite file on a Railway /data volume. sqlite3 with check_same_thread=False, one connection opened and closed per request, no WAL mode, no pooling.</t>
        </is>
      </c>
      <c r="N7" s="32" t="inlineStr">
        <is>
          <t>SQLite serialises writes with a global lock. At 100k citizens the reporting, upvoting and coordinator-action write load will lock contend continuously, and the design cannot scale past one process or one machine.</t>
        </is>
      </c>
      <c r="O7" s="32" t="inlineStr">
        <is>
          <t>Migrate to managed PostgreSQL with PgBouncer. Keep SQLite only for local development behind the same repository interface.</t>
        </is>
      </c>
      <c r="P7" s="31" t="n">
        <v>15</v>
      </c>
      <c r="Q7" s="29" t="inlineStr">
        <is>
          <t>Open</t>
        </is>
      </c>
      <c r="R7" s="29" t="inlineStr"/>
      <c r="S7" s="29" t="inlineStr"/>
      <c r="T7" s="32" t="inlineStr"/>
    </row>
    <row r="8" ht="78" customHeight="1">
      <c r="A8" s="28" t="inlineStr">
        <is>
          <t>F019</t>
        </is>
      </c>
      <c r="B8" s="29" t="inlineStr">
        <is>
          <t>E2</t>
        </is>
      </c>
      <c r="C8" s="29" t="inlineStr">
        <is>
          <t>S3</t>
        </is>
      </c>
      <c r="D8" s="30" t="inlineStr">
        <is>
          <t>Critical</t>
        </is>
      </c>
      <c r="E8" s="29" t="inlineStr">
        <is>
          <t>Certain</t>
        </is>
      </c>
      <c r="F8" s="31" t="n">
        <v>100</v>
      </c>
      <c r="G8" s="29" t="inlineStr">
        <is>
          <t>Performance</t>
        </is>
      </c>
      <c r="H8" s="29" t="inlineStr">
        <is>
          <t>Database</t>
        </is>
      </c>
      <c r="I8" s="29" t="inlineStr">
        <is>
          <t>Indexes</t>
        </is>
      </c>
      <c r="J8" s="29" t="inlineStr">
        <is>
          <t>backend/database.py</t>
        </is>
      </c>
      <c r="K8" s="29" t="inlineStr">
        <is>
          <t>61-76</t>
        </is>
      </c>
      <c r="L8" s="32" t="inlineStr">
        <is>
          <t>Zero indexes on the issues table</t>
        </is>
      </c>
      <c r="M8" s="32" t="inlineStr">
        <is>
          <t>Verified against the shipped seed DB: the only index on issues is the primary-key autoindex. Queries filter on ward_no, status, created_by, assigned_coordinator, department and zone — all unindexed.</t>
        </is>
      </c>
      <c r="N8" s="32" t="inlineStr">
        <is>
          <t>Every ward feed, every history load, every coordinator queue and every admin filter is a full table scan. At 100k+ rows with 100k users polling, the database is saturated by scans alone.</t>
        </is>
      </c>
      <c r="O8" s="32" t="inlineStr">
        <is>
          <t>Add composite indexes: (ward_no, status, created_at), (created_by, created_at), (assigned_coordinator, status), (status, upvotes), (department). Verify with EXPLAIN QUERY PLAN.</t>
        </is>
      </c>
      <c r="P8" s="31" t="n">
        <v>2</v>
      </c>
      <c r="Q8" s="29" t="inlineStr">
        <is>
          <t>Open</t>
        </is>
      </c>
      <c r="R8" s="29" t="inlineStr"/>
      <c r="S8" s="29" t="inlineStr"/>
      <c r="T8" s="32" t="inlineStr"/>
    </row>
    <row r="9" ht="78" customHeight="1">
      <c r="A9" s="28" t="inlineStr">
        <is>
          <t>F027</t>
        </is>
      </c>
      <c r="B9" s="29" t="inlineStr">
        <is>
          <t>E3</t>
        </is>
      </c>
      <c r="C9" s="29" t="inlineStr">
        <is>
          <t>S4</t>
        </is>
      </c>
      <c r="D9" s="30" t="inlineStr">
        <is>
          <t>Critical</t>
        </is>
      </c>
      <c r="E9" s="29" t="inlineStr">
        <is>
          <t>Certain</t>
        </is>
      </c>
      <c r="F9" s="31" t="n">
        <v>100</v>
      </c>
      <c r="G9" s="29" t="inlineStr">
        <is>
          <t>Performance</t>
        </is>
      </c>
      <c r="H9" s="29" t="inlineStr">
        <is>
          <t>Backend</t>
        </is>
      </c>
      <c r="I9" s="29" t="inlineStr">
        <is>
          <t>Admin API</t>
        </is>
      </c>
      <c r="J9" s="29" t="inlineStr">
        <is>
          <t>backend/routers/admin.py</t>
        </is>
      </c>
      <c r="K9" s="29" t="inlineStr">
        <is>
          <t>33-104</t>
        </is>
      </c>
      <c r="L9" s="32" t="inlineStr">
        <is>
          <t>GET /api/admin/issues returns the entire table with no pagination</t>
        </is>
      </c>
      <c r="M9" s="32" t="inlineStr">
        <is>
          <t>The endpoint builds an optional WHERE clause, runs SELECT * with no LIMIT, serialises every row in Python and sorts the resulting list in Python.</t>
        </is>
      </c>
      <c r="N9" s="32" t="inlineStr">
        <is>
          <t>This is the single endpoint the whole console reads. At 100k+ grievances it is a multi-hundred-megabyte JSON response per page load, per operator, across 100 offices. It will time out or exhaust server memory.</t>
        </is>
      </c>
      <c r="O9" s="32" t="inlineStr">
        <is>
          <t>Add cursor pagination (limit/after), push sorting and filtering into indexed SQL, and return a lean projection rather than SELECT *.</t>
        </is>
      </c>
      <c r="P9" s="31" t="n">
        <v>5</v>
      </c>
      <c r="Q9" s="29" t="inlineStr">
        <is>
          <t>Open</t>
        </is>
      </c>
      <c r="R9" s="29" t="inlineStr"/>
      <c r="S9" s="29" t="inlineStr"/>
      <c r="T9" s="32" t="inlineStr"/>
    </row>
    <row r="10" ht="78" customHeight="1">
      <c r="A10" s="28" t="inlineStr">
        <is>
          <t>F028</t>
        </is>
      </c>
      <c r="B10" s="29" t="inlineStr">
        <is>
          <t>E3</t>
        </is>
      </c>
      <c r="C10" s="29" t="inlineStr">
        <is>
          <t>S4</t>
        </is>
      </c>
      <c r="D10" s="30" t="inlineStr">
        <is>
          <t>Critical</t>
        </is>
      </c>
      <c r="E10" s="29" t="inlineStr">
        <is>
          <t>Certain</t>
        </is>
      </c>
      <c r="F10" s="31" t="n">
        <v>100</v>
      </c>
      <c r="G10" s="29" t="inlineStr">
        <is>
          <t>Performance</t>
        </is>
      </c>
      <c r="H10" s="29" t="inlineStr">
        <is>
          <t>Backend</t>
        </is>
      </c>
      <c r="I10" s="29" t="inlineStr">
        <is>
          <t>Citizen API</t>
        </is>
      </c>
      <c r="J10" s="29" t="inlineStr">
        <is>
          <t>backend/routers/issues.py</t>
        </is>
      </c>
      <c r="K10" s="29" t="inlineStr">
        <is>
          <t>237-257</t>
        </is>
      </c>
      <c r="L10" s="32" t="inlineStr">
        <is>
          <t>/api/issues/nearby scans every non-SUBMITTED row and computes Haversine in Python</t>
        </is>
      </c>
      <c r="M10" s="32" t="inlineStr">
        <is>
          <t>The handler loads all rows, then loops computing haversine_m per row before filtering by radius.</t>
        </is>
      </c>
      <c r="N10" s="32" t="inlineStr">
        <is>
          <t>The map is the app's landing surface. At 100k grievances and 100k users this is O(N) CPU per map open — the single hottest and most expensive path in the product.</t>
        </is>
      </c>
      <c r="O10" s="32" t="inlineStr">
        <is>
          <t>Pre-filter with a bounding box in indexed SQL, then refine. On PostGIS use ST_DWithin with a GiST index.</t>
        </is>
      </c>
      <c r="P10" s="31" t="n">
        <v>3</v>
      </c>
      <c r="Q10" s="29" t="inlineStr">
        <is>
          <t>Open</t>
        </is>
      </c>
      <c r="R10" s="29" t="inlineStr"/>
      <c r="S10" s="29" t="inlineStr"/>
      <c r="T10" s="32" t="inlineStr"/>
    </row>
    <row r="11" ht="78" customHeight="1">
      <c r="A11" s="28" t="inlineStr">
        <is>
          <t>F029</t>
        </is>
      </c>
      <c r="B11" s="29" t="inlineStr">
        <is>
          <t>E3</t>
        </is>
      </c>
      <c r="C11" s="29" t="inlineStr">
        <is>
          <t>S4</t>
        </is>
      </c>
      <c r="D11" s="30" t="inlineStr">
        <is>
          <t>Critical</t>
        </is>
      </c>
      <c r="E11" s="29" t="inlineStr">
        <is>
          <t>Certain</t>
        </is>
      </c>
      <c r="F11" s="31" t="n">
        <v>100</v>
      </c>
      <c r="G11" s="29" t="inlineStr">
        <is>
          <t>Performance</t>
        </is>
      </c>
      <c r="H11" s="29" t="inlineStr">
        <is>
          <t>Backend</t>
        </is>
      </c>
      <c r="I11" s="29" t="inlineStr">
        <is>
          <t>Report path</t>
        </is>
      </c>
      <c r="J11" s="29" t="inlineStr">
        <is>
          <t>backend/routers/issues.py</t>
        </is>
      </c>
      <c r="K11" s="29" t="inlineStr">
        <is>
          <t>59-72, 110-146</t>
        </is>
      </c>
      <c r="L11" s="32" t="inlineStr">
        <is>
          <t>Blocking Gemini and geocoding calls inside an async endpoint block the event loop</t>
        </is>
      </c>
      <c r="M11" s="32" t="inlineStr">
        <is>
          <t>report_issue is declared async def but calls process_audio(), check_duplicate(), classify_department() and reverse_geocode() — all synchronous network calls taking seconds — directly on the event loop.</t>
        </is>
      </c>
      <c r="N11" s="32" t="inlineStr">
        <is>
          <t>Every report stalls the entire server process for the duration of several Gemini round trips. Under concurrent load from 100k citizens the API effectively serialises on AI latency.</t>
        </is>
      </c>
      <c r="O11" s="32" t="inlineStr">
        <is>
          <t>Accept the report immediately, persist it, and process transcription, duplicate detection and routing on a background worker queue (Celery/RQ/arq). Notify the client when enrichment completes.</t>
        </is>
      </c>
      <c r="P11" s="31" t="n">
        <v>8</v>
      </c>
      <c r="Q11" s="29" t="inlineStr">
        <is>
          <t>Open</t>
        </is>
      </c>
      <c r="R11" s="29" t="inlineStr"/>
      <c r="S11" s="29" t="inlineStr"/>
      <c r="T11" s="32" t="inlineStr"/>
    </row>
    <row r="12" ht="78" customHeight="1">
      <c r="A12" s="28" t="inlineStr">
        <is>
          <t>F031</t>
        </is>
      </c>
      <c r="B12" s="29" t="inlineStr">
        <is>
          <t>E3</t>
        </is>
      </c>
      <c r="C12" s="29" t="inlineStr">
        <is>
          <t>S4</t>
        </is>
      </c>
      <c r="D12" s="30" t="inlineStr">
        <is>
          <t>Critical</t>
        </is>
      </c>
      <c r="E12" s="29" t="inlineStr">
        <is>
          <t>Certain</t>
        </is>
      </c>
      <c r="F12" s="31" t="n">
        <v>100</v>
      </c>
      <c r="G12" s="29" t="inlineStr">
        <is>
          <t>Performance</t>
        </is>
      </c>
      <c r="H12" s="29" t="inlineStr">
        <is>
          <t>Backend</t>
        </is>
      </c>
      <c r="I12" s="29" t="inlineStr">
        <is>
          <t>Admin API</t>
        </is>
      </c>
      <c r="J12" s="29" t="inlineStr">
        <is>
          <t>backend/routers/admin.py</t>
        </is>
      </c>
      <c r="K12" s="29" t="inlineStr">
        <is>
          <t>360-407</t>
        </is>
      </c>
      <c r="L12" s="32" t="inlineStr">
        <is>
          <t>coordinator-performance is an N+1 that scans the issues table once per coordinator</t>
        </is>
      </c>
      <c r="M12" s="32" t="inlineStr">
        <is>
          <t>For each coordinator the handler runs SELECT * FROM issues WHERE LOWER(assigned_coordinator) = ?. The LOWER() call also defeats any index.</t>
        </is>
      </c>
      <c r="N12" s="32" t="inlineStr">
        <is>
          <t>With 100 offices at roughly 5 coordinators each, one dashboard load triggers ~500 full table scans over 100k+ rows. This alone can take the database down.</t>
        </is>
      </c>
      <c r="O12" s="32" t="inlineStr">
        <is>
          <t>Replace with a single GROUP BY aggregate query. Store usernames already normalised so the index is usable.</t>
        </is>
      </c>
      <c r="P12" s="31" t="n">
        <v>2</v>
      </c>
      <c r="Q12" s="29" t="inlineStr">
        <is>
          <t>Open</t>
        </is>
      </c>
      <c r="R12" s="29" t="inlineStr"/>
      <c r="S12" s="29" t="inlineStr"/>
      <c r="T12" s="32" t="inlineStr"/>
    </row>
    <row r="13" ht="78" customHeight="1">
      <c r="A13" s="28" t="inlineStr">
        <is>
          <t>F036</t>
        </is>
      </c>
      <c r="B13" s="29" t="inlineStr">
        <is>
          <t>E3</t>
        </is>
      </c>
      <c r="C13" s="29" t="inlineStr">
        <is>
          <t>S4</t>
        </is>
      </c>
      <c r="D13" s="30" t="inlineStr">
        <is>
          <t>Critical</t>
        </is>
      </c>
      <c r="E13" s="29" t="inlineStr">
        <is>
          <t>Certain</t>
        </is>
      </c>
      <c r="F13" s="31" t="n">
        <v>100</v>
      </c>
      <c r="G13" s="29" t="inlineStr">
        <is>
          <t>Scalability</t>
        </is>
      </c>
      <c r="H13" s="29" t="inlineStr">
        <is>
          <t>Backend</t>
        </is>
      </c>
      <c r="I13" s="29" t="inlineStr">
        <is>
          <t>Storage</t>
        </is>
      </c>
      <c r="J13" s="29" t="inlineStr">
        <is>
          <t>backend/utils.py</t>
        </is>
      </c>
      <c r="K13" s="29" t="inlineStr">
        <is>
          <t>19-26</t>
        </is>
      </c>
      <c r="L13" s="32" t="inlineStr">
        <is>
          <t>Uploaded media lives on a local volume, not object storage</t>
        </is>
      </c>
      <c r="M13" s="32" t="inlineStr">
        <is>
          <t>UPLOAD_DIR is a directory on the same volume as the database, served by the application process.</t>
        </is>
      </c>
      <c r="N13" s="32" t="inlineStr">
        <is>
          <t>Every photo, voice note and petition from 100k citizens accumulates on one disk with no CDN. Storage is finite, the app process becomes a file server, and horizontal scaling is impossible.</t>
        </is>
      </c>
      <c r="O13" s="32" t="inlineStr">
        <is>
          <t>Move to S3-compatible object storage with presigned upload URLs and CDN delivery.</t>
        </is>
      </c>
      <c r="P13" s="31" t="n">
        <v>5</v>
      </c>
      <c r="Q13" s="29" t="inlineStr">
        <is>
          <t>Open</t>
        </is>
      </c>
      <c r="R13" s="29" t="inlineStr"/>
      <c r="S13" s="29" t="inlineStr"/>
      <c r="T13" s="32" t="inlineStr"/>
    </row>
    <row r="14" ht="78" customHeight="1">
      <c r="A14" s="28" t="inlineStr">
        <is>
          <t>F045</t>
        </is>
      </c>
      <c r="B14" s="29" t="inlineStr">
        <is>
          <t>E4</t>
        </is>
      </c>
      <c r="C14" s="29" t="inlineStr">
        <is>
          <t>S5</t>
        </is>
      </c>
      <c r="D14" s="30" t="inlineStr">
        <is>
          <t>Critical</t>
        </is>
      </c>
      <c r="E14" s="29" t="inlineStr">
        <is>
          <t>Certain</t>
        </is>
      </c>
      <c r="F14" s="31" t="n">
        <v>100</v>
      </c>
      <c r="G14" s="29" t="inlineStr">
        <is>
          <t>Scalability</t>
        </is>
      </c>
      <c r="H14" s="29" t="inlineStr">
        <is>
          <t>Mobile</t>
        </is>
      </c>
      <c r="I14" s="29" t="inlineStr">
        <is>
          <t>Notifications</t>
        </is>
      </c>
      <c r="J14" s="29" t="inlineStr">
        <is>
          <t>mobile/lib/features/shared/notification_banner.dart</t>
        </is>
      </c>
      <c r="K14" s="29" t="inlineStr">
        <is>
          <t>66</t>
        </is>
      </c>
      <c r="L14" s="32" t="inlineStr">
        <is>
          <t>Every device polls notifications every 15 seconds</t>
        </is>
      </c>
      <c r="M14" s="32" t="inlineStr">
        <is>
          <t>NotificationPoller runs Timer.periodic(15s) for the whole time a screen is mounted, with no jitter, no backoff and no pause when idle.</t>
        </is>
      </c>
      <c r="N14" s="32" t="inlineStr">
        <is>
          <t>At 100k citizens this is about 6,700 requests per second of pure polling overhead against a single SQLite instance, before anyone reports anything.</t>
        </is>
      </c>
      <c r="O14" s="32" t="inlineStr">
        <is>
          <t>Make FCM the primary channel. Poll only on resume and on explicit refresh. If polling is retained, add jitter, exponential backoff and a much longer interval.</t>
        </is>
      </c>
      <c r="P14" s="31" t="n">
        <v>5</v>
      </c>
      <c r="Q14" s="29" t="inlineStr">
        <is>
          <t>Open</t>
        </is>
      </c>
      <c r="R14" s="29" t="inlineStr"/>
      <c r="S14" s="29" t="inlineStr"/>
      <c r="T14" s="32" t="inlineStr"/>
    </row>
    <row r="15" ht="78" customHeight="1">
      <c r="A15" s="28" t="inlineStr">
        <is>
          <t>F046</t>
        </is>
      </c>
      <c r="B15" s="29" t="inlineStr">
        <is>
          <t>E4</t>
        </is>
      </c>
      <c r="C15" s="29" t="inlineStr">
        <is>
          <t>S5</t>
        </is>
      </c>
      <c r="D15" s="30" t="inlineStr">
        <is>
          <t>Critical</t>
        </is>
      </c>
      <c r="E15" s="29" t="inlineStr">
        <is>
          <t>Certain</t>
        </is>
      </c>
      <c r="F15" s="31" t="n">
        <v>100</v>
      </c>
      <c r="G15" s="29" t="inlineStr">
        <is>
          <t>Scalability</t>
        </is>
      </c>
      <c r="H15" s="29" t="inlineStr">
        <is>
          <t>Mobile</t>
        </is>
      </c>
      <c r="I15" s="29" t="inlineStr">
        <is>
          <t>Notifications</t>
        </is>
      </c>
      <c r="J15" s="29" t="inlineStr">
        <is>
          <t>mobile/lib/features/shared/notification_bell.dart</t>
        </is>
      </c>
      <c r="K15" s="29" t="inlineStr">
        <is>
          <t>49</t>
        </is>
      </c>
      <c r="L15" s="32" t="inlineStr">
        <is>
          <t>A second poller runs every 20 seconds and ignores the cursor</t>
        </is>
      </c>
      <c r="M15" s="32" t="inlineStr">
        <is>
          <t>NotificationBell polls independently of NotificationPoller and calls fetchNotifications without a since value, so it re-downloads the full list every time.</t>
        </is>
      </c>
      <c r="N15" s="32" t="inlineStr">
        <is>
          <t>Roughly doubles the polling load to ~11,700 requests per second at 100k users, with a larger payload each time. Two components poll the same endpoint with no coordination.</t>
        </is>
      </c>
      <c r="O15" s="32" t="inlineStr">
        <is>
          <t>Consolidate into one notification store shared by banner and bell, fed by push, with a single cursor.</t>
        </is>
      </c>
      <c r="P15" s="31" t="n">
        <v>3</v>
      </c>
      <c r="Q15" s="29" t="inlineStr">
        <is>
          <t>Open</t>
        </is>
      </c>
      <c r="R15" s="29" t="inlineStr"/>
      <c r="S15" s="29" t="inlineStr"/>
      <c r="T15" s="32" t="inlineStr"/>
    </row>
    <row r="16" ht="78" customHeight="1">
      <c r="A16" s="28" t="inlineStr">
        <is>
          <t>F051</t>
        </is>
      </c>
      <c r="B16" s="29" t="inlineStr">
        <is>
          <t>E5</t>
        </is>
      </c>
      <c r="C16" s="29" t="inlineStr">
        <is>
          <t>S6</t>
        </is>
      </c>
      <c r="D16" s="30" t="inlineStr">
        <is>
          <t>Critical</t>
        </is>
      </c>
      <c r="E16" s="29" t="inlineStr">
        <is>
          <t>Certain</t>
        </is>
      </c>
      <c r="F16" s="31" t="n">
        <v>100</v>
      </c>
      <c r="G16" s="29" t="inlineStr">
        <is>
          <t>Scalability</t>
        </is>
      </c>
      <c r="H16" s="29" t="inlineStr">
        <is>
          <t>Backend</t>
        </is>
      </c>
      <c r="I16" s="29" t="inlineStr">
        <is>
          <t>Geography</t>
        </is>
      </c>
      <c r="J16" s="29" t="inlineStr">
        <is>
          <t>backend/utils.py</t>
        </is>
      </c>
      <c r="K16" s="29" t="inlineStr">
        <is>
          <t>131-148</t>
        </is>
      </c>
      <c r="L16" s="32" t="inlineStr">
        <is>
          <t>Constituency map is hardcoded to 16 Chennai assembly constituencies</t>
        </is>
      </c>
      <c r="M16" s="32" t="inlineStr">
        <is>
          <t>CHENNAI_AC_MAP is a Python literal mapping 16 AC names to GCC ward numbers. It is duplicated in mobile/lib/domain/constituencies.dart and frontend/lib/constituencies.js.</t>
        </is>
      </c>
      <c r="N16" s="32" t="inlineStr">
        <is>
          <t>The target is 100 MLA offices. Tamil Nadu has 234 assembly constituencies, most outside Greater Chennai. The system cannot represent them, and three separate copies must be edited in lockstep.</t>
        </is>
      </c>
      <c r="O16" s="32" t="inlineStr">
        <is>
          <t>Move the constituency-ward mapping into the database, expose it via API, and delete both client copies.</t>
        </is>
      </c>
      <c r="P16" s="31" t="n">
        <v>8</v>
      </c>
      <c r="Q16" s="29" t="inlineStr">
        <is>
          <t>Open</t>
        </is>
      </c>
      <c r="R16" s="29" t="inlineStr"/>
      <c r="S16" s="29" t="inlineStr"/>
      <c r="T16" s="32" t="inlineStr"/>
    </row>
    <row r="17" ht="78" customHeight="1">
      <c r="A17" s="28" t="inlineStr">
        <is>
          <t>F052</t>
        </is>
      </c>
      <c r="B17" s="29" t="inlineStr">
        <is>
          <t>E5</t>
        </is>
      </c>
      <c r="C17" s="29" t="inlineStr">
        <is>
          <t>S6</t>
        </is>
      </c>
      <c r="D17" s="30" t="inlineStr">
        <is>
          <t>Critical</t>
        </is>
      </c>
      <c r="E17" s="29" t="inlineStr">
        <is>
          <t>Certain</t>
        </is>
      </c>
      <c r="F17" s="31" t="n">
        <v>100</v>
      </c>
      <c r="G17" s="29" t="inlineStr">
        <is>
          <t>Scalability</t>
        </is>
      </c>
      <c r="H17" s="29" t="inlineStr">
        <is>
          <t>Backend</t>
        </is>
      </c>
      <c r="I17" s="29" t="inlineStr">
        <is>
          <t>Geography</t>
        </is>
      </c>
      <c r="J17" s="29" t="inlineStr">
        <is>
          <t>backend/boundaries.py</t>
        </is>
      </c>
      <c r="K17" s="29" t="inlineStr">
        <is>
          <t>42-52</t>
        </is>
      </c>
      <c r="L17" s="32" t="inlineStr">
        <is>
          <t>Boundary data covers only Greater Chennai Corporation</t>
        </is>
      </c>
      <c r="M17" s="32" t="inlineStr">
        <is>
          <t>zones.kml holds 16 GCC zones and wards.kml 200 GCC divisions. Reports outside these polygons are rejected outright with a 422.</t>
        </is>
      </c>
      <c r="N17" s="32" t="inlineStr">
        <is>
          <t>Any MLA office outside Greater Chennai cannot receive a single grievance — the report endpoint refuses coordinates it cannot resolve to a GCC ward. This blocks the entire 100-office rollout.</t>
        </is>
      </c>
      <c r="O17" s="32" t="inlineStr">
        <is>
          <t>Source statewide ward and constituency boundaries, store geometry in PostGIS, and make the served region configurable per tenant.</t>
        </is>
      </c>
      <c r="P17" s="31" t="n">
        <v>15</v>
      </c>
      <c r="Q17" s="29" t="inlineStr">
        <is>
          <t>Open</t>
        </is>
      </c>
      <c r="R17" s="29" t="inlineStr"/>
      <c r="S17" s="29" t="inlineStr"/>
      <c r="T17" s="32" t="inlineStr"/>
    </row>
    <row r="18" ht="78" customHeight="1">
      <c r="A18" s="28" t="inlineStr">
        <is>
          <t>F053</t>
        </is>
      </c>
      <c r="B18" s="29" t="inlineStr">
        <is>
          <t>E5</t>
        </is>
      </c>
      <c r="C18" s="29" t="inlineStr">
        <is>
          <t>S6</t>
        </is>
      </c>
      <c r="D18" s="30" t="inlineStr">
        <is>
          <t>Critical</t>
        </is>
      </c>
      <c r="E18" s="29" t="inlineStr">
        <is>
          <t>Certain</t>
        </is>
      </c>
      <c r="F18" s="31" t="n">
        <v>100</v>
      </c>
      <c r="G18" s="29" t="inlineStr">
        <is>
          <t>Security</t>
        </is>
      </c>
      <c r="H18" s="29" t="inlineStr">
        <is>
          <t>Backend</t>
        </is>
      </c>
      <c r="I18" s="29" t="inlineStr">
        <is>
          <t>Tenancy</t>
        </is>
      </c>
      <c r="J18" s="29" t="inlineStr">
        <is>
          <t>backend/routers/admin.py</t>
        </is>
      </c>
      <c r="K18" s="29" t="inlineStr">
        <is>
          <t>33-104</t>
        </is>
      </c>
      <c r="L18" s="32" t="inlineStr">
        <is>
          <t>No tenant scoping — any admin session sees every constituency's data</t>
        </is>
      </c>
      <c r="M18" s="32" t="inlineStr">
        <is>
          <t>Admin endpoints filter only by optional query parameters. Nothing binds an operator to a constituency.</t>
        </is>
      </c>
      <c r="N18" s="32" t="inlineStr">
        <is>
          <t>Each of 100 MLA offices would see, and be able to act on, every other constituency's citizen complaints and personal data. Politically unacceptable and a privacy breach.</t>
        </is>
      </c>
      <c r="O18" s="32" t="inlineStr">
        <is>
          <t>Bind every admin account to a constituency (or a set), and enforce that scope server-side on every query and mutation — never via a client-supplied filter.</t>
        </is>
      </c>
      <c r="P18" s="31" t="n">
        <v>8</v>
      </c>
      <c r="Q18" s="29" t="inlineStr">
        <is>
          <t>Open</t>
        </is>
      </c>
      <c r="R18" s="29" t="inlineStr"/>
      <c r="S18" s="29" t="inlineStr"/>
      <c r="T18" s="32" t="inlineStr"/>
    </row>
    <row r="19" ht="78" customHeight="1">
      <c r="A19" s="28" t="inlineStr">
        <is>
          <t>F056</t>
        </is>
      </c>
      <c r="B19" s="29" t="inlineStr">
        <is>
          <t>E5</t>
        </is>
      </c>
      <c r="C19" s="29" t="inlineStr">
        <is>
          <t>S9</t>
        </is>
      </c>
      <c r="D19" s="30" t="inlineStr">
        <is>
          <t>Critical</t>
        </is>
      </c>
      <c r="E19" s="29" t="inlineStr">
        <is>
          <t>Certain</t>
        </is>
      </c>
      <c r="F19" s="31" t="n">
        <v>100</v>
      </c>
      <c r="G19" s="29" t="inlineStr">
        <is>
          <t>Privacy</t>
        </is>
      </c>
      <c r="H19" s="29" t="inlineStr">
        <is>
          <t>Backend</t>
        </is>
      </c>
      <c r="I19" s="29" t="inlineStr">
        <is>
          <t>Departments</t>
        </is>
      </c>
      <c r="J19" s="29" t="inlineStr">
        <is>
          <t>backend/routers/departments.py</t>
        </is>
      </c>
      <c r="K19" s="29" t="inlineStr">
        <is>
          <t>178-183</t>
        </is>
      </c>
      <c r="L19" s="32" t="inlineStr">
        <is>
          <t>Four hardcoded personal mobile numbers are assigned to all 600 officer slots</t>
        </is>
      </c>
      <c r="M19" s="32" t="inlineStr">
        <is>
          <t>DEMO_OFFICER_NUMBERS holds four real-format Indian mobile numbers, deterministically spread across every responsible-officer slot in the taxonomy at boot.</t>
        </is>
      </c>
      <c r="N19" s="32" t="inlineStr">
        <is>
          <t>In production every department dispatch across 100 constituencies would WhatsApp citizens' grievances to four private numbers. Serious privacy incident and a broken escalation path.</t>
        </is>
      </c>
      <c r="O19" s="32" t="inlineStr">
        <is>
          <t>Remove the seed entirely. Require a real officer directory to be configured before dispatch is enabled, and block dispatch when no number is set.</t>
        </is>
      </c>
      <c r="P19" s="31" t="n">
        <v>2</v>
      </c>
      <c r="Q19" s="29" t="inlineStr">
        <is>
          <t>Open</t>
        </is>
      </c>
      <c r="R19" s="29" t="inlineStr"/>
      <c r="S19" s="29" t="inlineStr"/>
      <c r="T19" s="32" t="inlineStr"/>
    </row>
    <row r="20" ht="78" customHeight="1">
      <c r="A20" s="28" t="inlineStr">
        <is>
          <t>F057</t>
        </is>
      </c>
      <c r="B20" s="29" t="inlineStr">
        <is>
          <t>E5</t>
        </is>
      </c>
      <c r="C20" s="29" t="inlineStr">
        <is>
          <t>S8</t>
        </is>
      </c>
      <c r="D20" s="30" t="inlineStr">
        <is>
          <t>Critical</t>
        </is>
      </c>
      <c r="E20" s="29" t="inlineStr">
        <is>
          <t>Certain</t>
        </is>
      </c>
      <c r="F20" s="31" t="n">
        <v>100</v>
      </c>
      <c r="G20" s="29" t="inlineStr">
        <is>
          <t>Compliance</t>
        </is>
      </c>
      <c r="H20" s="29" t="inlineStr">
        <is>
          <t>Admin Dashboard</t>
        </is>
      </c>
      <c r="I20" s="29" t="inlineStr">
        <is>
          <t>Mock data</t>
        </is>
      </c>
      <c r="J20" s="29" t="inlineStr">
        <is>
          <t>frontend/lib/communityInsights.js</t>
        </is>
      </c>
      <c r="K20" s="29" t="inlineStr">
        <is>
          <t>1-40</t>
        </is>
      </c>
      <c r="L20" s="32" t="inlineStr">
        <is>
          <t>Dashboard analytics are fabricated data about named real politicians</t>
        </is>
      </c>
      <c r="M20" s="32" t="inlineStr">
        <is>
          <t>communityInsights.js supplies mock social-media mentions and an MLA_BY_AC table naming real people and parties, with several entries marked 'Data Pending'. It feeds the Performance page's pulse panels.</t>
        </is>
      </c>
      <c r="N20" s="32" t="inlineStr">
        <is>
          <t>Presenting invented sentiment analytics about identifiable real politicians to 100 MLA offices is a defamation and reputational risk, and it makes the dashboard untrustworthy as a decision tool.</t>
        </is>
      </c>
      <c r="O20" s="32" t="inlineStr">
        <is>
          <t>Remove the mock analytics from any build an office can reach, or replace with a genuine, sourced and attributed data feed. Load MLA records from the database.</t>
        </is>
      </c>
      <c r="P20" s="31" t="n">
        <v>5</v>
      </c>
      <c r="Q20" s="29" t="inlineStr">
        <is>
          <t>Open</t>
        </is>
      </c>
      <c r="R20" s="29" t="inlineStr"/>
      <c r="S20" s="29" t="inlineStr"/>
      <c r="T20" s="32" t="inlineStr"/>
    </row>
    <row r="21" ht="78" customHeight="1">
      <c r="A21" s="28" t="inlineStr">
        <is>
          <t>F058</t>
        </is>
      </c>
      <c r="B21" s="29" t="inlineStr">
        <is>
          <t>E6</t>
        </is>
      </c>
      <c r="C21" s="29" t="inlineStr">
        <is>
          <t>S9</t>
        </is>
      </c>
      <c r="D21" s="30" t="inlineStr">
        <is>
          <t>Critical</t>
        </is>
      </c>
      <c r="E21" s="29" t="inlineStr">
        <is>
          <t>Certain</t>
        </is>
      </c>
      <c r="F21" s="31" t="n">
        <v>100</v>
      </c>
      <c r="G21" s="29" t="inlineStr">
        <is>
          <t>Compliance</t>
        </is>
      </c>
      <c r="H21" s="29" t="inlineStr">
        <is>
          <t>Backend</t>
        </is>
      </c>
      <c r="I21" s="29" t="inlineStr">
        <is>
          <t>PII</t>
        </is>
      </c>
      <c r="J21" s="29" t="inlineStr">
        <is>
          <t>backend/database.py</t>
        </is>
      </c>
      <c r="K21" s="29" t="inlineStr">
        <is>
          <t>54-59, 197-206</t>
        </is>
      </c>
      <c r="L21" s="32" t="inlineStr">
        <is>
          <t>No retention policy, consent record or erasure path for personal data</t>
        </is>
      </c>
      <c r="M21" s="32" t="inlineStr">
        <is>
          <t>users holds name and phone indefinitely. location_logs records every coordinate lookup with no expiry. Nothing records consent and there is no deletion endpoint.</t>
        </is>
      </c>
      <c r="N21" s="32" t="inlineStr">
        <is>
          <t>DPDP Act 2023 requires purpose limitation, retention limits and erasure on request. At 100k citizens, non-compliance carries significant penalty exposure for the deploying authority.</t>
        </is>
      </c>
      <c r="O21" s="32" t="inlineStr">
        <is>
          <t>Define retention per table, implement account deletion and data export, record consent at signup, and appoint the data-fiduciary contact in the app.</t>
        </is>
      </c>
      <c r="P21" s="31" t="n">
        <v>8</v>
      </c>
      <c r="Q21" s="29" t="inlineStr">
        <is>
          <t>Open</t>
        </is>
      </c>
      <c r="R21" s="29" t="inlineStr"/>
      <c r="S21" s="29" t="inlineStr"/>
      <c r="T21" s="32" t="inlineStr"/>
    </row>
    <row r="22" ht="78" customHeight="1">
      <c r="A22" s="28" t="inlineStr">
        <is>
          <t>F063</t>
        </is>
      </c>
      <c r="B22" s="29" t="inlineStr">
        <is>
          <t>E7</t>
        </is>
      </c>
      <c r="C22" s="29" t="inlineStr">
        <is>
          <t>S9</t>
        </is>
      </c>
      <c r="D22" s="30" t="inlineStr">
        <is>
          <t>Critical</t>
        </is>
      </c>
      <c r="E22" s="29" t="inlineStr">
        <is>
          <t>Certain</t>
        </is>
      </c>
      <c r="F22" s="31" t="n">
        <v>100</v>
      </c>
      <c r="G22" s="29" t="inlineStr">
        <is>
          <t>Compliance</t>
        </is>
      </c>
      <c r="H22" s="29" t="inlineStr">
        <is>
          <t>Mobile</t>
        </is>
      </c>
      <c r="I22" s="29" t="inlineStr">
        <is>
          <t>Maps</t>
        </is>
      </c>
      <c r="J22" s="29" t="inlineStr">
        <is>
          <t>mobile/lib/features/home/widgets/map_card.dart</t>
        </is>
      </c>
      <c r="K22" s="29" t="inlineStr">
        <is>
          <t>296-307</t>
        </is>
      </c>
      <c r="L22" s="32" t="inlineStr">
        <is>
          <t>Map tiles are fetched directly from tile.openstreetmap.org</t>
        </is>
      </c>
      <c r="M22" s="32" t="inlineStr">
        <is>
          <t>Both TileLayer instances point at https://tile.openstreetmap.org/{z}/{x}/{y}.png. The admin console does the same.</t>
        </is>
      </c>
      <c r="N22" s="32" t="inlineStr">
        <is>
          <t>The OSM Foundation Tile Usage Policy explicitly forbids distributing an app that uses its tiles. At 100k users the servers will block the traffic and the map goes blank for every citizen. This is a launch blocker, not a risk.</t>
        </is>
      </c>
      <c r="O22" s="32" t="inlineStr">
        <is>
          <t>Move to a licensed provider (MapTiler, Mapbox, Protomaps) or self-host a tile server. Budget it; add attribution per the new provider's terms.</t>
        </is>
      </c>
      <c r="P22" s="31" t="n">
        <v>5</v>
      </c>
      <c r="Q22" s="29" t="inlineStr">
        <is>
          <t>Open</t>
        </is>
      </c>
      <c r="R22" s="29" t="inlineStr"/>
      <c r="S22" s="29" t="inlineStr"/>
      <c r="T22" s="32" t="inlineStr"/>
    </row>
    <row r="23" ht="78" customHeight="1">
      <c r="A23" s="28" t="inlineStr">
        <is>
          <t>F064</t>
        </is>
      </c>
      <c r="B23" s="29" t="inlineStr">
        <is>
          <t>E7</t>
        </is>
      </c>
      <c r="C23" s="29" t="inlineStr">
        <is>
          <t>S9</t>
        </is>
      </c>
      <c r="D23" s="30" t="inlineStr">
        <is>
          <t>Critical</t>
        </is>
      </c>
      <c r="E23" s="29" t="inlineStr">
        <is>
          <t>Certain</t>
        </is>
      </c>
      <c r="F23" s="31" t="n">
        <v>100</v>
      </c>
      <c r="G23" s="29" t="inlineStr">
        <is>
          <t>Compliance</t>
        </is>
      </c>
      <c r="H23" s="29" t="inlineStr">
        <is>
          <t>Mobile</t>
        </is>
      </c>
      <c r="I23" s="29" t="inlineStr">
        <is>
          <t>Geocoding</t>
        </is>
      </c>
      <c r="J23" s="29" t="inlineStr">
        <is>
          <t>mobile/lib/data/dio_api_client.dart</t>
        </is>
      </c>
      <c r="K23" s="29" t="inlineStr">
        <is>
          <t>312-338</t>
        </is>
      </c>
      <c r="L23" s="32" t="inlineStr">
        <is>
          <t>Every device reverse-geocodes directly against Nominatim</t>
        </is>
      </c>
      <c r="M23" s="32" t="inlineStr">
        <is>
          <t>reverseGeocode calls nominatim.openstreetmap.org from the handset. backend/utils.py does the same server-side on every report.</t>
        </is>
      </c>
      <c r="N23" s="32" t="inlineStr">
        <is>
          <t>Nominatim's usage policy caps absolute maximum use at 1 request per second and bars heavy use. 100k devices calling it directly will be blocked, and area names will silently become blank everywhere.</t>
        </is>
      </c>
      <c r="O23" s="32" t="inlineStr">
        <is>
          <t>Use a commercial geocoder or self-hosted Nominatim, called only server-side, with a cache keyed on a rounded coordinate.</t>
        </is>
      </c>
      <c r="P23" s="31" t="n">
        <v>4</v>
      </c>
      <c r="Q23" s="29" t="inlineStr">
        <is>
          <t>Open</t>
        </is>
      </c>
      <c r="R23" s="29" t="inlineStr"/>
      <c r="S23" s="29" t="inlineStr"/>
      <c r="T23" s="32" t="inlineStr"/>
    </row>
    <row r="24" ht="78" customHeight="1">
      <c r="A24" s="28" t="inlineStr">
        <is>
          <t>F067</t>
        </is>
      </c>
      <c r="B24" s="29" t="inlineStr">
        <is>
          <t>E8</t>
        </is>
      </c>
      <c r="C24" s="29" t="inlineStr">
        <is>
          <t>S7</t>
        </is>
      </c>
      <c r="D24" s="30" t="inlineStr">
        <is>
          <t>Critical</t>
        </is>
      </c>
      <c r="E24" s="29" t="inlineStr">
        <is>
          <t>Certain</t>
        </is>
      </c>
      <c r="F24" s="31" t="n">
        <v>100</v>
      </c>
      <c r="G24" s="29" t="inlineStr">
        <is>
          <t>Reliability</t>
        </is>
      </c>
      <c r="H24" s="29" t="inlineStr">
        <is>
          <t>Mobile</t>
        </is>
      </c>
      <c r="I24" s="29" t="inlineStr">
        <is>
          <t>Observability</t>
        </is>
      </c>
      <c r="J24" s="29" t="inlineStr">
        <is>
          <t>mobile/lib/main.dart</t>
        </is>
      </c>
      <c r="K24" s="29" t="inlineStr">
        <is>
          <t>1-35</t>
        </is>
      </c>
      <c r="L24" s="32" t="inlineStr">
        <is>
          <t>No crash reporting or analytics in the app</t>
        </is>
      </c>
      <c r="M24" s="32" t="inlineStr">
        <is>
          <t>main() wires SharedPreferences and PushService then runs the app. There is no Crashlytics, Sentry or equivalent, and no analytics.</t>
        </is>
      </c>
      <c r="N24" s="32" t="inlineStr">
        <is>
          <t>With 100k handsets across thousands of Android device models you have no visibility into crashes, ANRs or failed flows. Field failures will only surface as complaints.</t>
        </is>
      </c>
      <c r="O24" s="32" t="inlineStr">
        <is>
          <t>Add Crashlytics or Sentry with release tagging, plus privacy-respecting funnel analytics for the report flow.</t>
        </is>
      </c>
      <c r="P24" s="31" t="n">
        <v>3</v>
      </c>
      <c r="Q24" s="29" t="inlineStr">
        <is>
          <t>Open</t>
        </is>
      </c>
      <c r="R24" s="29" t="inlineStr"/>
      <c r="S24" s="29" t="inlineStr"/>
      <c r="T24" s="32" t="inlineStr"/>
    </row>
    <row r="25" ht="78" customHeight="1">
      <c r="A25" s="28" t="inlineStr">
        <is>
          <t>F076</t>
        </is>
      </c>
      <c r="B25" s="29" t="inlineStr">
        <is>
          <t>E9</t>
        </is>
      </c>
      <c r="C25" s="29" t="inlineStr">
        <is>
          <t>S8</t>
        </is>
      </c>
      <c r="D25" s="30" t="inlineStr">
        <is>
          <t>Critical</t>
        </is>
      </c>
      <c r="E25" s="29" t="inlineStr">
        <is>
          <t>Certain</t>
        </is>
      </c>
      <c r="F25" s="31" t="n">
        <v>100</v>
      </c>
      <c r="G25" s="29" t="inlineStr">
        <is>
          <t>Performance</t>
        </is>
      </c>
      <c r="H25" s="29" t="inlineStr">
        <is>
          <t>Admin Dashboard</t>
        </is>
      </c>
      <c r="I25" s="29" t="inlineStr">
        <is>
          <t>Data loading</t>
        </is>
      </c>
      <c r="J25" s="29" t="inlineStr">
        <is>
          <t>frontend/components/admin/AdminDataProvider.js</t>
        </is>
      </c>
      <c r="K25" s="29" t="inlineStr">
        <is>
          <t>24-44</t>
        </is>
      </c>
      <c r="L25" s="32" t="inlineStr">
        <is>
          <t>The console loads the entire issues table into browser memory</t>
        </is>
      </c>
      <c r="M25" s="32" t="inlineStr">
        <is>
          <t>AdminDataProvider calls fetchAdminIssues({sort:'recent'}) with no filter and no pagination, holds the result in React state, and every page derives its view with client-side .filter().</t>
        </is>
      </c>
      <c r="N25" s="32" t="inlineStr">
        <is>
          <t>At 100k+ grievances this is a multi-hundred-megabyte payload the browser must parse and retain. The console will hang or crash on load, for every one of 100 offices. This is the dashboard's single hardest blocker.</t>
        </is>
      </c>
      <c r="O25" s="32" t="inlineStr">
        <is>
          <t>Query server-side per view with pagination and filters, keep only the current page in memory, and move counts to dedicated aggregate endpoints.</t>
        </is>
      </c>
      <c r="P25" s="31" t="n">
        <v>8</v>
      </c>
      <c r="Q25" s="29" t="inlineStr">
        <is>
          <t>Open</t>
        </is>
      </c>
      <c r="R25" s="29" t="inlineStr"/>
      <c r="S25" s="29" t="inlineStr"/>
      <c r="T25" s="32" t="inlineStr"/>
    </row>
    <row r="26" ht="78" customHeight="1">
      <c r="A26" s="28" t="inlineStr">
        <is>
          <t>F081</t>
        </is>
      </c>
      <c r="B26" s="29" t="inlineStr">
        <is>
          <t>E10</t>
        </is>
      </c>
      <c r="C26" s="29" t="inlineStr">
        <is>
          <t>S10</t>
        </is>
      </c>
      <c r="D26" s="30" t="inlineStr">
        <is>
          <t>Critical</t>
        </is>
      </c>
      <c r="E26" s="29" t="inlineStr">
        <is>
          <t>Certain</t>
        </is>
      </c>
      <c r="F26" s="31" t="n">
        <v>100</v>
      </c>
      <c r="G26" s="29" t="inlineStr">
        <is>
          <t>Quality</t>
        </is>
      </c>
      <c r="H26" s="29" t="inlineStr">
        <is>
          <t>Operations</t>
        </is>
      </c>
      <c r="I26" s="29" t="inlineStr">
        <is>
          <t>Testing</t>
        </is>
      </c>
      <c r="J26" s="29" t="inlineStr">
        <is>
          <t>backend/</t>
        </is>
      </c>
      <c r="K26" s="29" t="inlineStr">
        <is>
          <t>-</t>
        </is>
      </c>
      <c r="L26" s="32" t="inlineStr">
        <is>
          <t>The backend has no automated tests at all</t>
        </is>
      </c>
      <c r="M26" s="32" t="inlineStr">
        <is>
          <t>There is no test directory, no pytest configuration and no CI workflow anywhere in backend/. The Flutter app has 831 lines of tests across 8 files, all covering domain logic and three widgets.</t>
        </is>
      </c>
      <c r="N26" s="32" t="inlineStr">
        <is>
          <t>Every change to a system handling 100k citizens' statutory complaints ships unverified. There is no regression safety net for the security fixes this audit requires.</t>
        </is>
      </c>
      <c r="O26" s="32" t="inlineStr">
        <is>
          <t>Build a pytest suite covering auth, the lifecycle state machine, tenancy scoping and every endpoint's authorisation. Gate merges on it in CI.</t>
        </is>
      </c>
      <c r="P26" s="31" t="n">
        <v>10</v>
      </c>
      <c r="Q26" s="29" t="inlineStr">
        <is>
          <t>Open</t>
        </is>
      </c>
      <c r="R26" s="29" t="inlineStr"/>
      <c r="S26" s="29" t="inlineStr"/>
      <c r="T26" s="32" t="inlineStr"/>
    </row>
    <row r="27" ht="78" customHeight="1">
      <c r="A27" s="28" t="inlineStr">
        <is>
          <t>F082</t>
        </is>
      </c>
      <c r="B27" s="29" t="inlineStr">
        <is>
          <t>E10</t>
        </is>
      </c>
      <c r="C27" s="29" t="inlineStr">
        <is>
          <t>S10</t>
        </is>
      </c>
      <c r="D27" s="30" t="inlineStr">
        <is>
          <t>Critical</t>
        </is>
      </c>
      <c r="E27" s="29" t="inlineStr">
        <is>
          <t>Certain</t>
        </is>
      </c>
      <c r="F27" s="31" t="n">
        <v>100</v>
      </c>
      <c r="G27" s="29" t="inlineStr">
        <is>
          <t>Quality</t>
        </is>
      </c>
      <c r="H27" s="29" t="inlineStr">
        <is>
          <t>Operations</t>
        </is>
      </c>
      <c r="I27" s="29" t="inlineStr">
        <is>
          <t>Load testing</t>
        </is>
      </c>
      <c r="J27" s="29" t="inlineStr">
        <is>
          <t>-</t>
        </is>
      </c>
      <c r="K27" s="29" t="inlineStr">
        <is>
          <t>-</t>
        </is>
      </c>
      <c r="L27" s="32" t="inlineStr">
        <is>
          <t>No load test or capacity evidence exists</t>
        </is>
      </c>
      <c r="M27" s="32" t="inlineStr">
        <is>
          <t>Nothing in the repository establishes throughput, latency or breaking point for any endpoint.</t>
        </is>
      </c>
      <c r="N27" s="32" t="inlineStr">
        <is>
          <t>The 100k-citizen target is an assumption, not a measurement. Capacity planning, autoscaling thresholds and the launch go/no-go all have no basis.</t>
        </is>
      </c>
      <c r="O27" s="32" t="inlineStr">
        <is>
          <t>Build a k6 or Locust scenario modelling realistic traffic (map opens, report submissions, notification polling), run it against staging, and publish the numbers.</t>
        </is>
      </c>
      <c r="P27" s="31" t="n">
        <v>5</v>
      </c>
      <c r="Q27" s="29" t="inlineStr">
        <is>
          <t>Open</t>
        </is>
      </c>
      <c r="R27" s="29" t="inlineStr"/>
      <c r="S27" s="29" t="inlineStr"/>
      <c r="T27" s="32" t="inlineStr"/>
    </row>
    <row r="28" ht="78" customHeight="1">
      <c r="A28" s="28" t="inlineStr">
        <is>
          <t>F083</t>
        </is>
      </c>
      <c r="B28" s="29" t="inlineStr">
        <is>
          <t>E10</t>
        </is>
      </c>
      <c r="C28" s="29" t="inlineStr">
        <is>
          <t>S10</t>
        </is>
      </c>
      <c r="D28" s="30" t="inlineStr">
        <is>
          <t>Critical</t>
        </is>
      </c>
      <c r="E28" s="29" t="inlineStr">
        <is>
          <t>Certain</t>
        </is>
      </c>
      <c r="F28" s="31" t="n">
        <v>100</v>
      </c>
      <c r="G28" s="29" t="inlineStr">
        <is>
          <t>Reliability</t>
        </is>
      </c>
      <c r="H28" s="29" t="inlineStr">
        <is>
          <t>Operations</t>
        </is>
      </c>
      <c r="I28" s="29" t="inlineStr">
        <is>
          <t>Deployment</t>
        </is>
      </c>
      <c r="J28" s="29" t="inlineStr">
        <is>
          <t>backend/railway.json</t>
        </is>
      </c>
      <c r="K28" s="29" t="inlineStr">
        <is>
          <t>1-10</t>
        </is>
      </c>
      <c r="L28" s="32" t="inlineStr">
        <is>
          <t>Single-instance deployment with no health checks, autoscaling or graceful shutdown</t>
        </is>
      </c>
      <c r="M28" s="32" t="inlineStr">
        <is>
          <t>railway.json defines one uvicorn process with restartPolicyType ON_FAILURE. There is no worker count, no readiness or liveness probe and no draining.</t>
        </is>
      </c>
      <c r="N28" s="32" t="inlineStr">
        <is>
          <t>No redundancy: one process failure takes the service down for all 100 offices. A restart during writes risks the corruption the seed-guard code was written to survive.</t>
        </is>
      </c>
      <c r="O28" s="32" t="inlineStr">
        <is>
          <t>Move to a multi-instance deployment behind a load balancer with health probes, graceful shutdown and autoscaling — which first requires the Postgres migration (F018).</t>
        </is>
      </c>
      <c r="P28" s="31" t="n">
        <v>5</v>
      </c>
      <c r="Q28" s="29" t="inlineStr">
        <is>
          <t>Open</t>
        </is>
      </c>
      <c r="R28" s="29" t="inlineStr"/>
      <c r="S28" s="29" t="inlineStr"/>
      <c r="T28" s="32" t="inlineStr"/>
    </row>
    <row r="29" ht="78" customHeight="1">
      <c r="A29" s="28" t="inlineStr">
        <is>
          <t>F004</t>
        </is>
      </c>
      <c r="B29" s="29" t="inlineStr">
        <is>
          <t>E1</t>
        </is>
      </c>
      <c r="C29" s="29" t="inlineStr">
        <is>
          <t>S1</t>
        </is>
      </c>
      <c r="D29" s="30" t="inlineStr">
        <is>
          <t>Critical</t>
        </is>
      </c>
      <c r="E29" s="29" t="inlineStr">
        <is>
          <t>Likely</t>
        </is>
      </c>
      <c r="F29" s="31" t="n">
        <v>80</v>
      </c>
      <c r="G29" s="29" t="inlineStr">
        <is>
          <t>Security</t>
        </is>
      </c>
      <c r="H29" s="29" t="inlineStr">
        <is>
          <t>Backend</t>
        </is>
      </c>
      <c r="I29" s="29" t="inlineStr">
        <is>
          <t>Citizen API</t>
        </is>
      </c>
      <c r="J29" s="29" t="inlineStr">
        <is>
          <t>backend/routers/issues.py</t>
        </is>
      </c>
      <c r="K29" s="29" t="inlineStr">
        <is>
          <t>203-232</t>
        </is>
      </c>
      <c r="L29" s="32" t="inlineStr">
        <is>
          <t>Upvote identity is caller-supplied — vote stuffing is trivial</t>
        </is>
      </c>
      <c r="M29" s="32" t="inlineStr">
        <is>
          <t>upvote_issue trusts the user_id form field. The one-vote-per-person rule is a UNIQUE(user_id, issue_id) constraint on a string the caller chooses.</t>
        </is>
      </c>
      <c r="N29" s="32" t="inlineStr">
        <is>
          <t>Grievance priority, the coordinator queue ordering and the MLA-facing 'most supported' metrics are all driven by upvote counts. A loop generating random user_ids can manufacture any ranking.</t>
        </is>
      </c>
      <c r="O29" s="32" t="inlineStr">
        <is>
          <t>Derive user_id from the access token. Add per-account and per-IP rate limits on upvote.</t>
        </is>
      </c>
      <c r="P29" s="31" t="n">
        <v>2</v>
      </c>
      <c r="Q29" s="29" t="inlineStr">
        <is>
          <t>Open</t>
        </is>
      </c>
      <c r="R29" s="29" t="inlineStr"/>
      <c r="S29" s="29" t="inlineStr"/>
      <c r="T29" s="32" t="inlineStr"/>
    </row>
    <row r="30" ht="78" customHeight="1">
      <c r="A30" s="28" t="inlineStr">
        <is>
          <t>F005</t>
        </is>
      </c>
      <c r="B30" s="29" t="inlineStr">
        <is>
          <t>E1</t>
        </is>
      </c>
      <c r="C30" s="29" t="inlineStr">
        <is>
          <t>S1</t>
        </is>
      </c>
      <c r="D30" s="30" t="inlineStr">
        <is>
          <t>Critical</t>
        </is>
      </c>
      <c r="E30" s="29" t="inlineStr">
        <is>
          <t>Likely</t>
        </is>
      </c>
      <c r="F30" s="31" t="n">
        <v>80</v>
      </c>
      <c r="G30" s="29" t="inlineStr">
        <is>
          <t>Security</t>
        </is>
      </c>
      <c r="H30" s="29" t="inlineStr">
        <is>
          <t>Backend</t>
        </is>
      </c>
      <c r="I30" s="29" t="inlineStr">
        <is>
          <t>Citizen API</t>
        </is>
      </c>
      <c r="J30" s="29" t="inlineStr">
        <is>
          <t>backend/routers/issues.py</t>
        </is>
      </c>
      <c r="K30" s="29" t="inlineStr">
        <is>
          <t>335-355</t>
        </is>
      </c>
      <c r="L30" s="32" t="inlineStr">
        <is>
          <t>POST /issues/{id}/confirm writes a phone number onto any grievance, unauthenticated</t>
        </is>
      </c>
      <c r="M30" s="32" t="inlineStr">
        <is>
          <t>confirm_issue takes issue_id, phone and name and writes them straight onto the issues row. There is no authentication and no check that the caller reported the grievance.</t>
        </is>
      </c>
      <c r="N30" s="32" t="inlineStr">
        <is>
          <t>Any caller can overwrite the contact details of any of 100k grievances, or inject arbitrary phone numbers into the MLA office's contact list.</t>
        </is>
      </c>
      <c r="O30" s="32" t="inlineStr">
        <is>
          <t>Require the reporter's token and verify created_by matches before writing contact details.</t>
        </is>
      </c>
      <c r="P30" s="31" t="n">
        <v>1</v>
      </c>
      <c r="Q30" s="29" t="inlineStr">
        <is>
          <t>Open</t>
        </is>
      </c>
      <c r="R30" s="29" t="inlineStr"/>
      <c r="S30" s="29" t="inlineStr"/>
      <c r="T30" s="32" t="inlineStr"/>
    </row>
    <row r="31" ht="78" customHeight="1">
      <c r="A31" s="28" t="inlineStr">
        <is>
          <t>F008</t>
        </is>
      </c>
      <c r="B31" s="29" t="inlineStr">
        <is>
          <t>E1</t>
        </is>
      </c>
      <c r="C31" s="29" t="inlineStr">
        <is>
          <t>S1</t>
        </is>
      </c>
      <c r="D31" s="30" t="inlineStr">
        <is>
          <t>Critical</t>
        </is>
      </c>
      <c r="E31" s="29" t="inlineStr">
        <is>
          <t>Likely</t>
        </is>
      </c>
      <c r="F31" s="31" t="n">
        <v>80</v>
      </c>
      <c r="G31" s="29" t="inlineStr">
        <is>
          <t>Security</t>
        </is>
      </c>
      <c r="H31" s="29" t="inlineStr">
        <is>
          <t>Backend</t>
        </is>
      </c>
      <c r="I31" s="29" t="inlineStr">
        <is>
          <t>Notifications</t>
        </is>
      </c>
      <c r="J31" s="29" t="inlineStr">
        <is>
          <t>backend/routers/notifications.py</t>
        </is>
      </c>
      <c r="K31" s="29" t="inlineStr">
        <is>
          <t>129-165</t>
        </is>
      </c>
      <c r="L31" s="32" t="inlineStr">
        <is>
          <t>GET /api/notifications returns any account's notifications to any caller</t>
        </is>
      </c>
      <c r="M31" s="32" t="inlineStr">
        <is>
          <t>recipient_type and recipient_id are query parameters with no authentication.</t>
        </is>
      </c>
      <c r="N31" s="32" t="inlineStr">
        <is>
          <t>Anyone can read every notification — grievance titles, messages, ward and coordinates — for any of 100k citizens or any coordinator.</t>
        </is>
      </c>
      <c r="O31" s="32" t="inlineStr">
        <is>
          <t>Authenticate, and serve only the caller's own notifications.</t>
        </is>
      </c>
      <c r="P31" s="31" t="n">
        <v>1</v>
      </c>
      <c r="Q31" s="29" t="inlineStr">
        <is>
          <t>Open</t>
        </is>
      </c>
      <c r="R31" s="29" t="inlineStr"/>
      <c r="S31" s="29" t="inlineStr"/>
      <c r="T31" s="32" t="inlineStr"/>
    </row>
    <row r="32" ht="78" customHeight="1">
      <c r="A32" s="28" t="inlineStr">
        <is>
          <t>F011</t>
        </is>
      </c>
      <c r="B32" s="29" t="inlineStr">
        <is>
          <t>E1</t>
        </is>
      </c>
      <c r="C32" s="29" t="inlineStr">
        <is>
          <t>S2</t>
        </is>
      </c>
      <c r="D32" s="30" t="inlineStr">
        <is>
          <t>Critical</t>
        </is>
      </c>
      <c r="E32" s="29" t="inlineStr">
        <is>
          <t>Likely</t>
        </is>
      </c>
      <c r="F32" s="31" t="n">
        <v>80</v>
      </c>
      <c r="G32" s="29" t="inlineStr">
        <is>
          <t>Security</t>
        </is>
      </c>
      <c r="H32" s="29" t="inlineStr">
        <is>
          <t>Backend</t>
        </is>
      </c>
      <c r="I32" s="29" t="inlineStr">
        <is>
          <t>Auth</t>
        </is>
      </c>
      <c r="J32" s="29" t="inlineStr">
        <is>
          <t>backend/routers/auth.py</t>
        </is>
      </c>
      <c r="K32" s="29" t="inlineStr">
        <is>
          <t>88-122</t>
        </is>
      </c>
      <c r="L32" s="32" t="inlineStr">
        <is>
          <t>OTP falls back to dummy mode and returns the code in the HTTP response</t>
        </is>
      </c>
      <c r="M32" s="32" t="inlineStr">
        <is>
          <t>If APM_SMS_API_KEY is unset OR the gateway throws, the server generates the OTP locally and returns it as dev_otp. The Flutter login screen then displays it on screen ('demo code ...').</t>
        </is>
      </c>
      <c r="N32" s="32" t="inlineStr">
        <is>
          <t>An SMS gateway outage silently converts the product into one where anyone can log in as any phone number, and the app shows them the code. This is a complete account-takeover path for all 100k accounts.</t>
        </is>
      </c>
      <c r="O32" s="32" t="inlineStr">
        <is>
          <t>Never return the OTP when a gateway is configured. Fail the request loudly on gateway error. Gate dummy mode behind an explicit non-production environment flag.</t>
        </is>
      </c>
      <c r="P32" s="31" t="n">
        <v>2</v>
      </c>
      <c r="Q32" s="29" t="inlineStr">
        <is>
          <t>Open</t>
        </is>
      </c>
      <c r="R32" s="29" t="inlineStr"/>
      <c r="S32" s="29" t="inlineStr"/>
      <c r="T32" s="32" t="inlineStr"/>
    </row>
    <row r="33" ht="78" customHeight="1">
      <c r="A33" s="28" t="inlineStr">
        <is>
          <t>F012</t>
        </is>
      </c>
      <c r="B33" s="29" t="inlineStr">
        <is>
          <t>E1</t>
        </is>
      </c>
      <c r="C33" s="29" t="inlineStr">
        <is>
          <t>S2</t>
        </is>
      </c>
      <c r="D33" s="30" t="inlineStr">
        <is>
          <t>Critical</t>
        </is>
      </c>
      <c r="E33" s="29" t="inlineStr">
        <is>
          <t>Likely</t>
        </is>
      </c>
      <c r="F33" s="31" t="n">
        <v>80</v>
      </c>
      <c r="G33" s="29" t="inlineStr">
        <is>
          <t>Security</t>
        </is>
      </c>
      <c r="H33" s="29" t="inlineStr">
        <is>
          <t>Backend</t>
        </is>
      </c>
      <c r="I33" s="29" t="inlineStr">
        <is>
          <t>Auth</t>
        </is>
      </c>
      <c r="J33" s="29" t="inlineStr">
        <is>
          <t>backend/routers/auth.py</t>
        </is>
      </c>
      <c r="K33" s="29" t="inlineStr">
        <is>
          <t>88-122</t>
        </is>
      </c>
      <c r="L33" s="32" t="inlineStr">
        <is>
          <t>No rate limit on OTP request — SMS bombing and cost attack</t>
        </is>
      </c>
      <c r="M33" s="32" t="inlineStr">
        <is>
          <t>request_otp can be called without limit for any number. Each call sends a real SMS when the gateway is live.</t>
        </is>
      </c>
      <c r="N33" s="32" t="inlineStr">
        <is>
          <t>An attacker can send unlimited paid SMS to arbitrary Indian numbers at the office's expense, and harass any citizen. Direct financial DoS.</t>
        </is>
      </c>
      <c r="O33" s="32" t="inlineStr">
        <is>
          <t>Per-number and per-IP throttle (e.g. 3/hour, 10/day), a CAPTCHA or device attestation on repeat, and a spend alarm on the gateway account.</t>
        </is>
      </c>
      <c r="P33" s="31" t="n">
        <v>2</v>
      </c>
      <c r="Q33" s="29" t="inlineStr">
        <is>
          <t>Open</t>
        </is>
      </c>
      <c r="R33" s="29" t="inlineStr"/>
      <c r="S33" s="29" t="inlineStr"/>
      <c r="T33" s="32" t="inlineStr"/>
    </row>
    <row r="34" ht="78" customHeight="1">
      <c r="A34" s="28" t="inlineStr">
        <is>
          <t>F034</t>
        </is>
      </c>
      <c r="B34" s="29" t="inlineStr">
        <is>
          <t>E3</t>
        </is>
      </c>
      <c r="C34" s="29" t="inlineStr">
        <is>
          <t>S4</t>
        </is>
      </c>
      <c r="D34" s="30" t="inlineStr">
        <is>
          <t>Critical</t>
        </is>
      </c>
      <c r="E34" s="29" t="inlineStr">
        <is>
          <t>Likely</t>
        </is>
      </c>
      <c r="F34" s="31" t="n">
        <v>80</v>
      </c>
      <c r="G34" s="29" t="inlineStr">
        <is>
          <t>Security</t>
        </is>
      </c>
      <c r="H34" s="29" t="inlineStr">
        <is>
          <t>Backend</t>
        </is>
      </c>
      <c r="I34" s="29" t="inlineStr">
        <is>
          <t>Upload</t>
        </is>
      </c>
      <c r="J34" s="29" t="inlineStr">
        <is>
          <t>backend/utils.py</t>
        </is>
      </c>
      <c r="K34" s="29" t="inlineStr">
        <is>
          <t>74-90</t>
        </is>
      </c>
      <c r="L34" s="32" t="inlineStr">
        <is>
          <t>No size, type or count limit on any upload</t>
        </is>
      </c>
      <c r="M34" s="32" t="inlineStr">
        <is>
          <t>save_upload writes whatever bytes arrive, taking the file extension from the client-supplied filename. No max size is enforced anywhere in the stack.</t>
        </is>
      </c>
      <c r="N34" s="32" t="inlineStr">
        <is>
          <t>A single client can fill the volume. Uncapped audio also flows straight into Gemini, which is billed per second of audio. Both are open cost and availability attacks.</t>
        </is>
      </c>
      <c r="O34" s="32" t="inlineStr">
        <is>
          <t>Enforce per-file size caps at the reverse proxy and in the handler (e.g. image 5MB, audio 2MB, document 10MB), validate content type by sniffing rather than filename, and move storage to object storage.</t>
        </is>
      </c>
      <c r="P34" s="31" t="n">
        <v>3</v>
      </c>
      <c r="Q34" s="29" t="inlineStr">
        <is>
          <t>Open</t>
        </is>
      </c>
      <c r="R34" s="29" t="inlineStr"/>
      <c r="S34" s="29" t="inlineStr"/>
      <c r="T34" s="32" t="inlineStr"/>
    </row>
    <row r="35" ht="78" customHeight="1">
      <c r="A35" s="28" t="inlineStr">
        <is>
          <t>F038</t>
        </is>
      </c>
      <c r="B35" s="29" t="inlineStr">
        <is>
          <t>E3</t>
        </is>
      </c>
      <c r="C35" s="29" t="inlineStr">
        <is>
          <t>S2</t>
        </is>
      </c>
      <c r="D35" s="30" t="inlineStr">
        <is>
          <t>Critical</t>
        </is>
      </c>
      <c r="E35" s="29" t="inlineStr">
        <is>
          <t>Likely</t>
        </is>
      </c>
      <c r="F35" s="31" t="n">
        <v>80</v>
      </c>
      <c r="G35" s="29" t="inlineStr">
        <is>
          <t>Security</t>
        </is>
      </c>
      <c r="H35" s="29" t="inlineStr">
        <is>
          <t>Backend</t>
        </is>
      </c>
      <c r="I35" s="29" t="inlineStr">
        <is>
          <t>Middleware</t>
        </is>
      </c>
      <c r="J35" s="29" t="inlineStr">
        <is>
          <t>backend/main.py</t>
        </is>
      </c>
      <c r="K35" s="29" t="inlineStr">
        <is>
          <t>193-246</t>
        </is>
      </c>
      <c r="L35" s="32" t="inlineStr">
        <is>
          <t>No rate limiting, request size cap or abuse protection anywhere</t>
        </is>
      </c>
      <c r="M35" s="32" t="inlineStr">
        <is>
          <t>There is no throttling middleware, no per-IP limit and no maximum body size on any route.</t>
        </is>
      </c>
      <c r="N35" s="32" t="inlineStr">
        <is>
          <t>Every expensive endpoint — report, OTP, servicehub chat, nearby — is open to unlimited automated abuse, both as a denial of service and as a direct bill on Gemini and SMS.</t>
        </is>
      </c>
      <c r="O35" s="32" t="inlineStr">
        <is>
          <t>Add slowapi or an edge rate limiter with per-route budgets, plus a global max request size.</t>
        </is>
      </c>
      <c r="P35" s="31" t="n">
        <v>3</v>
      </c>
      <c r="Q35" s="29" t="inlineStr">
        <is>
          <t>Open</t>
        </is>
      </c>
      <c r="R35" s="29" t="inlineStr"/>
      <c r="S35" s="29" t="inlineStr"/>
      <c r="T35" s="32" t="inlineStr"/>
    </row>
    <row r="36" ht="78" customHeight="1">
      <c r="A36" s="28" t="inlineStr">
        <is>
          <t>F039</t>
        </is>
      </c>
      <c r="B36" s="29" t="inlineStr">
        <is>
          <t>E3</t>
        </is>
      </c>
      <c r="C36" s="29" t="inlineStr">
        <is>
          <t>S4</t>
        </is>
      </c>
      <c r="D36" s="30" t="inlineStr">
        <is>
          <t>Critical</t>
        </is>
      </c>
      <c r="E36" s="29" t="inlineStr">
        <is>
          <t>Likely</t>
        </is>
      </c>
      <c r="F36" s="31" t="n">
        <v>80</v>
      </c>
      <c r="G36" s="29" t="inlineStr">
        <is>
          <t>Cost</t>
        </is>
      </c>
      <c r="H36" s="29" t="inlineStr">
        <is>
          <t>Backend</t>
        </is>
      </c>
      <c r="I36" s="29" t="inlineStr">
        <is>
          <t>Service Hub</t>
        </is>
      </c>
      <c r="J36" s="29" t="inlineStr">
        <is>
          <t>backend/routers/servicehub.py</t>
        </is>
      </c>
      <c r="K36" s="29" t="inlineStr">
        <is>
          <t>100-127</t>
        </is>
      </c>
      <c r="L36" s="32" t="inlineStr">
        <is>
          <t>Unauthenticated, unlimited LLM proxy</t>
        </is>
      </c>
      <c r="M36" s="32" t="inlineStr">
        <is>
          <t>POST /api/servicehub/chat forwards arbitrary user text to Gemini with no authentication, no rate limit and a new client constructed per request.</t>
        </is>
      </c>
      <c r="N36" s="32" t="inlineStr">
        <is>
          <t>Anyone on the internet can use the government's Gemini quota for arbitrary generation. Unbounded and unbudgeted cost, plus abuse attributed to the office.</t>
        </is>
      </c>
      <c r="O36" s="32" t="inlineStr">
        <is>
          <t>Authenticate, rate limit per account, cap tokens per request and per day, and set a hard spend alarm.</t>
        </is>
      </c>
      <c r="P36" s="31" t="n">
        <v>2</v>
      </c>
      <c r="Q36" s="29" t="inlineStr">
        <is>
          <t>Open</t>
        </is>
      </c>
      <c r="R36" s="29" t="inlineStr"/>
      <c r="S36" s="29" t="inlineStr"/>
      <c r="T36" s="32" t="inlineStr"/>
    </row>
    <row r="37" ht="78" customHeight="1">
      <c r="A37" s="28" t="inlineStr">
        <is>
          <t>F010</t>
        </is>
      </c>
      <c r="B37" s="29" t="inlineStr">
        <is>
          <t>E1</t>
        </is>
      </c>
      <c r="C37" s="29" t="inlineStr">
        <is>
          <t>S2</t>
        </is>
      </c>
      <c r="D37" s="30" t="inlineStr">
        <is>
          <t>Critical</t>
        </is>
      </c>
      <c r="E37" s="29" t="inlineStr">
        <is>
          <t>Possible</t>
        </is>
      </c>
      <c r="F37" s="31" t="n">
        <v>50</v>
      </c>
      <c r="G37" s="29" t="inlineStr">
        <is>
          <t>Security</t>
        </is>
      </c>
      <c r="H37" s="29" t="inlineStr">
        <is>
          <t>Backend</t>
        </is>
      </c>
      <c r="I37" s="29" t="inlineStr">
        <is>
          <t>Auth</t>
        </is>
      </c>
      <c r="J37" s="29" t="inlineStr">
        <is>
          <t>backend/routers/auth.py</t>
        </is>
      </c>
      <c r="K37" s="29" t="inlineStr">
        <is>
          <t>192-231</t>
        </is>
      </c>
      <c r="L37" s="32" t="inlineStr">
        <is>
          <t>Coordinator passwords stored and compared in plaintext</t>
        </is>
      </c>
      <c r="M37" s="32" t="inlineStr">
        <is>
          <t>The coordinators table holds the password verbatim; login does row['password'] != password — a plain, non-constant-time string compare.</t>
        </is>
      </c>
      <c r="N37" s="32" t="inlineStr">
        <is>
          <t>A single database disclosure hands over working credentials for every coordinator across 100 constituencies. Also vulnerable to timing analysis.</t>
        </is>
      </c>
      <c r="O37" s="32" t="inlineStr">
        <is>
          <t>Hash with bcrypt or Argon2id, compare in constant time, and force a rotation of every existing credential at migration.</t>
        </is>
      </c>
      <c r="P37" s="31" t="n">
        <v>3</v>
      </c>
      <c r="Q37" s="29" t="inlineStr">
        <is>
          <t>Open</t>
        </is>
      </c>
      <c r="R37" s="29" t="inlineStr"/>
      <c r="S37" s="29" t="inlineStr"/>
      <c r="T37" s="32" t="inlineStr"/>
    </row>
    <row r="38" ht="78" customHeight="1">
      <c r="A38" s="28" t="inlineStr">
        <is>
          <t>F023</t>
        </is>
      </c>
      <c r="B38" s="29" t="inlineStr">
        <is>
          <t>E2</t>
        </is>
      </c>
      <c r="C38" s="29" t="inlineStr">
        <is>
          <t>S3</t>
        </is>
      </c>
      <c r="D38" s="30" t="inlineStr">
        <is>
          <t>Critical</t>
        </is>
      </c>
      <c r="E38" s="29" t="inlineStr">
        <is>
          <t>Possible</t>
        </is>
      </c>
      <c r="F38" s="31" t="n">
        <v>50</v>
      </c>
      <c r="G38" s="29" t="inlineStr">
        <is>
          <t>Reliability</t>
        </is>
      </c>
      <c r="H38" s="29" t="inlineStr">
        <is>
          <t>Database</t>
        </is>
      </c>
      <c r="I38" s="29" t="inlineStr">
        <is>
          <t>Backups</t>
        </is>
      </c>
      <c r="J38" s="29" t="inlineStr">
        <is>
          <t>backend/main.py</t>
        </is>
      </c>
      <c r="K38" s="29" t="inlineStr">
        <is>
          <t>121-173</t>
        </is>
      </c>
      <c r="L38" s="32" t="inlineStr">
        <is>
          <t>No backup or point-in-time recovery policy</t>
        </is>
      </c>
      <c r="M38" s="32" t="inlineStr">
        <is>
          <t>The only data-safety mechanism is a pre-seed file copy inside _seed_if_needed(). There is no scheduled backup, no offsite copy and no restore procedure.</t>
        </is>
      </c>
      <c r="N38" s="32" t="inlineStr">
        <is>
          <t>A volume failure loses every grievance for 100 constituencies with no recovery path. Citizens' complaints are statutory records.</t>
        </is>
      </c>
      <c r="O38" s="32" t="inlineStr">
        <is>
          <t>Managed Postgres with automated daily backups plus PITR, offsite retention, and a quarterly restore drill.</t>
        </is>
      </c>
      <c r="P38" s="31" t="n">
        <v>3</v>
      </c>
      <c r="Q38" s="29" t="inlineStr">
        <is>
          <t>Open</t>
        </is>
      </c>
      <c r="R38" s="29" t="inlineStr"/>
      <c r="S38" s="29" t="inlineStr"/>
      <c r="T38" s="32" t="inlineStr"/>
    </row>
    <row r="39" ht="78" customHeight="1">
      <c r="A39" s="28" t="inlineStr">
        <is>
          <t>F088</t>
        </is>
      </c>
      <c r="B39" s="29" t="inlineStr">
        <is>
          <t>E10</t>
        </is>
      </c>
      <c r="C39" s="29" t="inlineStr">
        <is>
          <t>S3</t>
        </is>
      </c>
      <c r="D39" s="30" t="inlineStr">
        <is>
          <t>Critical</t>
        </is>
      </c>
      <c r="E39" s="29" t="inlineStr">
        <is>
          <t>Possible</t>
        </is>
      </c>
      <c r="F39" s="31" t="n">
        <v>50</v>
      </c>
      <c r="G39" s="29" t="inlineStr">
        <is>
          <t>Reliability</t>
        </is>
      </c>
      <c r="H39" s="29" t="inlineStr">
        <is>
          <t>Operations</t>
        </is>
      </c>
      <c r="I39" s="29" t="inlineStr">
        <is>
          <t>Seeding</t>
        </is>
      </c>
      <c r="J39" s="29" t="inlineStr">
        <is>
          <t>backend/main.py</t>
        </is>
      </c>
      <c r="K39" s="29" t="inlineStr">
        <is>
          <t>121-173</t>
        </is>
      </c>
      <c r="L39" s="32" t="inlineStr">
        <is>
          <t>Demo seed data ships in the production image and can overwrite a live volume</t>
        </is>
      </c>
      <c r="M39" s="32" t="inlineStr">
        <is>
          <t>A 1,020-row demo database is committed at backend/seed/fixmystreet.db and copied over DB_PATH when the target looks empty, or unconditionally when FORCE_RESEED is set. The guard code documents a prior incident where live data was destroyed.</t>
        </is>
      </c>
      <c r="N39" s="32" t="inlineStr">
        <is>
          <t>One misread of an empty database, or one stray environment variable, replaces 100 constituencies' live grievances with demo rows. The existing guards reduce but do not remove this.</t>
        </is>
      </c>
      <c r="O39" s="32" t="inlineStr">
        <is>
          <t>Remove seed data from production images entirely. Seed only through an explicit, separately authorised operational command against a named non-production environment.</t>
        </is>
      </c>
      <c r="P39" s="31" t="n">
        <v>2</v>
      </c>
      <c r="Q39" s="29" t="inlineStr">
        <is>
          <t>Open</t>
        </is>
      </c>
      <c r="R39" s="29" t="inlineStr"/>
      <c r="S39" s="29" t="inlineStr"/>
      <c r="T39" s="32" t="inlineStr"/>
    </row>
    <row r="40" ht="78" customHeight="1">
      <c r="A40" s="28" t="inlineStr">
        <is>
          <t>F016</t>
        </is>
      </c>
      <c r="B40" s="29" t="inlineStr">
        <is>
          <t>E1</t>
        </is>
      </c>
      <c r="C40" s="29" t="inlineStr">
        <is>
          <t>S2</t>
        </is>
      </c>
      <c r="D40" s="33" t="inlineStr">
        <is>
          <t>High</t>
        </is>
      </c>
      <c r="E40" s="29" t="inlineStr">
        <is>
          <t>Certain</t>
        </is>
      </c>
      <c r="F40" s="31" t="n">
        <v>60</v>
      </c>
      <c r="G40" s="29" t="inlineStr">
        <is>
          <t>Reliability</t>
        </is>
      </c>
      <c r="H40" s="29" t="inlineStr">
        <is>
          <t>Backend</t>
        </is>
      </c>
      <c r="I40" s="29" t="inlineStr">
        <is>
          <t>Admin</t>
        </is>
      </c>
      <c r="J40" s="29" t="inlineStr">
        <is>
          <t>backend/admin_auth.py</t>
        </is>
      </c>
      <c r="K40" s="29" t="inlineStr">
        <is>
          <t>41-44</t>
        </is>
      </c>
      <c r="L40" s="32" t="inlineStr">
        <is>
          <t>ADMIN_SECRET regenerates per boot — every deploy signs all operators out</t>
        </is>
      </c>
      <c r="M40" s="32" t="inlineStr">
        <is>
          <t>The HMAC signing key defaults to secrets.token_hex(32) generated at import time when the env var is unset.</t>
        </is>
      </c>
      <c r="N40" s="32" t="inlineStr">
        <is>
          <t>Every restart, redeploy or crash invalidates all admin sessions across 100 offices simultaneously. With multiple app instances, tokens minted by one are rejected by another.</t>
        </is>
      </c>
      <c r="O40" s="32" t="inlineStr">
        <is>
          <t>Require ADMIN_SECRET from the environment and fail startup if absent. Rotate deliberately, with overlap.</t>
        </is>
      </c>
      <c r="P40" s="31" t="n">
        <v>1</v>
      </c>
      <c r="Q40" s="29" t="inlineStr">
        <is>
          <t>Open</t>
        </is>
      </c>
      <c r="R40" s="29" t="inlineStr"/>
      <c r="S40" s="29" t="inlineStr"/>
      <c r="T40" s="32" t="inlineStr"/>
    </row>
    <row r="41" ht="78" customHeight="1">
      <c r="A41" s="28" t="inlineStr">
        <is>
          <t>F020</t>
        </is>
      </c>
      <c r="B41" s="29" t="inlineStr">
        <is>
          <t>E2</t>
        </is>
      </c>
      <c r="C41" s="29" t="inlineStr">
        <is>
          <t>S3</t>
        </is>
      </c>
      <c r="D41" s="33" t="inlineStr">
        <is>
          <t>High</t>
        </is>
      </c>
      <c r="E41" s="29" t="inlineStr">
        <is>
          <t>Certain</t>
        </is>
      </c>
      <c r="F41" s="31" t="n">
        <v>60</v>
      </c>
      <c r="G41" s="29" t="inlineStr">
        <is>
          <t>Maintainability</t>
        </is>
      </c>
      <c r="H41" s="29" t="inlineStr">
        <is>
          <t>Database</t>
        </is>
      </c>
      <c r="I41" s="29" t="inlineStr">
        <is>
          <t>Schema</t>
        </is>
      </c>
      <c r="J41" s="29" t="inlineStr">
        <is>
          <t>backend/database.py</t>
        </is>
      </c>
      <c r="K41" s="29" t="inlineStr">
        <is>
          <t>210-297</t>
        </is>
      </c>
      <c r="L41" s="32" t="inlineStr">
        <is>
          <t>Migrations are try/except ALTER TABLE statements that swallow every error</t>
        </is>
      </c>
      <c r="M41" s="32" t="inlineStr">
        <is>
          <t>init_db() loops over ~25 ADD COLUMN statements each wrapped in try/except Exception: pass. There is no version table and no way to know whether a migration applied.</t>
        </is>
      </c>
      <c r="N41" s="32" t="inlineStr">
        <is>
          <t>A migration that fails for a real reason is indistinguishable from one already applied. Across 100 offices on shared infrastructure, schema drift becomes undiagnosable.</t>
        </is>
      </c>
      <c r="O41" s="32" t="inlineStr">
        <is>
          <t>Adopt Alembic. Version the schema, make migrations explicit, reversible and verified in CI.</t>
        </is>
      </c>
      <c r="P41" s="31" t="n">
        <v>4</v>
      </c>
      <c r="Q41" s="29" t="inlineStr">
        <is>
          <t>Open</t>
        </is>
      </c>
      <c r="R41" s="29" t="inlineStr"/>
      <c r="S41" s="29" t="inlineStr"/>
      <c r="T41" s="32" t="inlineStr"/>
    </row>
    <row r="42" ht="78" customHeight="1">
      <c r="A42" s="28" t="inlineStr">
        <is>
          <t>F030</t>
        </is>
      </c>
      <c r="B42" s="29" t="inlineStr">
        <is>
          <t>E3</t>
        </is>
      </c>
      <c r="C42" s="29" t="inlineStr">
        <is>
          <t>S4</t>
        </is>
      </c>
      <c r="D42" s="33" t="inlineStr">
        <is>
          <t>High</t>
        </is>
      </c>
      <c r="E42" s="29" t="inlineStr">
        <is>
          <t>Certain</t>
        </is>
      </c>
      <c r="F42" s="31" t="n">
        <v>60</v>
      </c>
      <c r="G42" s="29" t="inlineStr">
        <is>
          <t>Performance</t>
        </is>
      </c>
      <c r="H42" s="29" t="inlineStr">
        <is>
          <t>Backend</t>
        </is>
      </c>
      <c r="I42" s="29" t="inlineStr">
        <is>
          <t>Report path</t>
        </is>
      </c>
      <c r="J42" s="29" t="inlineStr">
        <is>
          <t>backend/routers/issues.py</t>
        </is>
      </c>
      <c r="K42" s="29" t="inlineStr">
        <is>
          <t>44-56</t>
        </is>
      </c>
      <c r="L42" s="32" t="inlineStr">
        <is>
          <t>Duplicate detection scans the full issues table before every report</t>
        </is>
      </c>
      <c r="M42" s="32" t="inlineStr">
        <is>
          <t>_nearby_open_issues loads every open issue and computes distance in Python, then sends the survivors to Gemini as prompt text.</t>
        </is>
      </c>
      <c r="N42" s="32" t="inlineStr">
        <is>
          <t>Two costs compound: an O(N) scan per submission, and an unbounded Gemini prompt whose size grows with grievance density. In a busy ward the prompt could contain hundreds of records.</t>
        </is>
      </c>
      <c r="O42" s="32" t="inlineStr">
        <is>
          <t>Bounding-box SQL pre-filter with a cap on candidates (e.g. nearest 10), then the model call.</t>
        </is>
      </c>
      <c r="P42" s="31" t="n">
        <v>3</v>
      </c>
      <c r="Q42" s="29" t="inlineStr">
        <is>
          <t>Open</t>
        </is>
      </c>
      <c r="R42" s="29" t="inlineStr"/>
      <c r="S42" s="29" t="inlineStr"/>
      <c r="T42" s="32" t="inlineStr"/>
    </row>
    <row r="43" ht="78" customHeight="1">
      <c r="A43" s="28" t="inlineStr">
        <is>
          <t>F032</t>
        </is>
      </c>
      <c r="B43" s="29" t="inlineStr">
        <is>
          <t>E3</t>
        </is>
      </c>
      <c r="C43" s="29" t="inlineStr">
        <is>
          <t>S4</t>
        </is>
      </c>
      <c r="D43" s="33" t="inlineStr">
        <is>
          <t>High</t>
        </is>
      </c>
      <c r="E43" s="29" t="inlineStr">
        <is>
          <t>Certain</t>
        </is>
      </c>
      <c r="F43" s="31" t="n">
        <v>60</v>
      </c>
      <c r="G43" s="29" t="inlineStr">
        <is>
          <t>Performance</t>
        </is>
      </c>
      <c r="H43" s="29" t="inlineStr">
        <is>
          <t>Backend</t>
        </is>
      </c>
      <c r="I43" s="29" t="inlineStr">
        <is>
          <t>Admin API</t>
        </is>
      </c>
      <c r="J43" s="29" t="inlineStr">
        <is>
          <t>backend/routers/admin.py</t>
        </is>
      </c>
      <c r="K43" s="29" t="inlineStr">
        <is>
          <t>107-151</t>
        </is>
      </c>
      <c r="L43" s="32" t="inlineStr">
        <is>
          <t>GET /api/admin/users returns every citizen account unpaginated</t>
        </is>
      </c>
      <c r="M43" s="32" t="inlineStr">
        <is>
          <t>SELECT id, name, phone, created_at FROM users with no LIMIT, plus a full aggregate over issues.</t>
        </is>
      </c>
      <c r="N43" s="32" t="inlineStr">
        <is>
          <t>100,000 rows including phone numbers in one response on every visit to the users view.</t>
        </is>
      </c>
      <c r="O43" s="32" t="inlineStr">
        <is>
          <t>Paginate, and require an explicit search term before returning rows.</t>
        </is>
      </c>
      <c r="P43" s="31" t="n">
        <v>2</v>
      </c>
      <c r="Q43" s="29" t="inlineStr">
        <is>
          <t>Open</t>
        </is>
      </c>
      <c r="R43" s="29" t="inlineStr"/>
      <c r="S43" s="29" t="inlineStr"/>
      <c r="T43" s="32" t="inlineStr"/>
    </row>
    <row r="44" ht="78" customHeight="1">
      <c r="A44" s="28" t="inlineStr">
        <is>
          <t>F033</t>
        </is>
      </c>
      <c r="B44" s="29" t="inlineStr">
        <is>
          <t>E3</t>
        </is>
      </c>
      <c r="C44" s="29" t="inlineStr">
        <is>
          <t>S4</t>
        </is>
      </c>
      <c r="D44" s="33" t="inlineStr">
        <is>
          <t>High</t>
        </is>
      </c>
      <c r="E44" s="29" t="inlineStr">
        <is>
          <t>Certain</t>
        </is>
      </c>
      <c r="F44" s="31" t="n">
        <v>60</v>
      </c>
      <c r="G44" s="29" t="inlineStr">
        <is>
          <t>Performance</t>
        </is>
      </c>
      <c r="H44" s="29" t="inlineStr">
        <is>
          <t>Backend</t>
        </is>
      </c>
      <c r="I44" s="29" t="inlineStr">
        <is>
          <t>Boundaries</t>
        </is>
      </c>
      <c r="J44" s="29" t="inlineStr">
        <is>
          <t>backend/main.py</t>
        </is>
      </c>
      <c r="K44" s="29" t="inlineStr">
        <is>
          <t>261-264</t>
        </is>
      </c>
      <c r="L44" s="32" t="inlineStr">
        <is>
          <t>GET /api/boundaries re-serialises 216 polygons on every request with no caching</t>
        </is>
      </c>
      <c r="M44" s="32" t="inlineStr">
        <is>
          <t>The GeoJSON is cached as a Python dict but FastAPI re-serialises it to JSON per call. No ETag, no Cache-Control, no compression directive.</t>
        </is>
      </c>
      <c r="N44" s="32" t="inlineStr">
        <is>
          <t>Every app launch by every one of 100k citizens downloads the full ward and zone geometry. This is likely the largest single item of egress in the system.</t>
        </is>
      </c>
      <c r="O44" s="32" t="inlineStr">
        <is>
          <t>Serve as a static, gzip/brotli pre-compressed asset from a CDN with a long max-age and a content hash in the URL; have the app cache it on disk.</t>
        </is>
      </c>
      <c r="P44" s="31" t="n">
        <v>3</v>
      </c>
      <c r="Q44" s="29" t="inlineStr">
        <is>
          <t>Open</t>
        </is>
      </c>
      <c r="R44" s="29" t="inlineStr"/>
      <c r="S44" s="29" t="inlineStr"/>
      <c r="T44" s="32" t="inlineStr"/>
    </row>
    <row r="45" ht="78" customHeight="1">
      <c r="A45" s="28" t="inlineStr">
        <is>
          <t>F037</t>
        </is>
      </c>
      <c r="B45" s="29" t="inlineStr">
        <is>
          <t>E3</t>
        </is>
      </c>
      <c r="C45" s="29" t="inlineStr">
        <is>
          <t>S4</t>
        </is>
      </c>
      <c r="D45" s="33" t="inlineStr">
        <is>
          <t>High</t>
        </is>
      </c>
      <c r="E45" s="29" t="inlineStr">
        <is>
          <t>Certain</t>
        </is>
      </c>
      <c r="F45" s="31" t="n">
        <v>60</v>
      </c>
      <c r="G45" s="29" t="inlineStr">
        <is>
          <t>Security</t>
        </is>
      </c>
      <c r="H45" s="29" t="inlineStr">
        <is>
          <t>Backend</t>
        </is>
      </c>
      <c r="I45" s="29" t="inlineStr">
        <is>
          <t>Middleware</t>
        </is>
      </c>
      <c r="J45" s="29" t="inlineStr">
        <is>
          <t>backend/main.py</t>
        </is>
      </c>
      <c r="K45" s="29" t="inlineStr">
        <is>
          <t>201-207</t>
        </is>
      </c>
      <c r="L45" s="32" t="inlineStr">
        <is>
          <t>CORS allows every origin while also allowing credentials</t>
        </is>
      </c>
      <c r="M45" s="32" t="inlineStr">
        <is>
          <t>allow_origins=['*'] with allow_credentials=True, allow_methods=['*'], allow_headers=['*'].</t>
        </is>
      </c>
      <c r="N45" s="32" t="inlineStr">
        <is>
          <t>Any website can call the API from a visitor's browser. Once real cookie sessions exist this becomes a cross-site request forgery vector against admin and coordinator accounts.</t>
        </is>
      </c>
      <c r="O45" s="32" t="inlineStr">
        <is>
          <t>Pin allow_origins to the known console and app origins per environment.</t>
        </is>
      </c>
      <c r="P45" s="31" t="n">
        <v>1</v>
      </c>
      <c r="Q45" s="29" t="inlineStr">
        <is>
          <t>Open</t>
        </is>
      </c>
      <c r="R45" s="29" t="inlineStr"/>
      <c r="S45" s="29" t="inlineStr"/>
      <c r="T45" s="32" t="inlineStr"/>
    </row>
    <row r="46" ht="78" customHeight="1">
      <c r="A46" s="28" t="inlineStr">
        <is>
          <t>F042</t>
        </is>
      </c>
      <c r="B46" s="29" t="inlineStr">
        <is>
          <t>E3</t>
        </is>
      </c>
      <c r="C46" s="29" t="inlineStr">
        <is>
          <t>S4</t>
        </is>
      </c>
      <c r="D46" s="33" t="inlineStr">
        <is>
          <t>High</t>
        </is>
      </c>
      <c r="E46" s="29" t="inlineStr">
        <is>
          <t>Certain</t>
        </is>
      </c>
      <c r="F46" s="31" t="n">
        <v>60</v>
      </c>
      <c r="G46" s="29" t="inlineStr">
        <is>
          <t>Cost</t>
        </is>
      </c>
      <c r="H46" s="29" t="inlineStr">
        <is>
          <t>Backend</t>
        </is>
      </c>
      <c r="I46" s="29" t="inlineStr">
        <is>
          <t>Gemini</t>
        </is>
      </c>
      <c r="J46" s="29" t="inlineStr">
        <is>
          <t>backend/routers/issues.py</t>
        </is>
      </c>
      <c r="K46" s="29" t="inlineStr">
        <is>
          <t>110-146</t>
        </is>
      </c>
      <c r="L46" s="32" t="inlineStr">
        <is>
          <t>Three sequential Gemini calls per report with no cost ceiling</t>
        </is>
      </c>
      <c r="M46" s="32" t="inlineStr">
        <is>
          <t>Each submission triggers transcription, then a duplicate check, then department classification — each with up to 2 attempts across 2 models.</t>
        </is>
      </c>
      <c r="N46" s="32" t="inlineStr">
        <is>
          <t>Up to 12 model invocations per grievance. At even 1,000 reports a day across 100 constituencies this is a large and completely unbudgeted bill with no per-tenant attribution.</t>
        </is>
      </c>
      <c r="O46" s="32" t="inlineStr">
        <is>
          <t>Combine transcription, routing and duplicate signals into one structured call. Add per-tenant quotas, caching and a daily spend cap.</t>
        </is>
      </c>
      <c r="P46" s="31" t="n">
        <v>4</v>
      </c>
      <c r="Q46" s="29" t="inlineStr">
        <is>
          <t>Open</t>
        </is>
      </c>
      <c r="R46" s="29" t="inlineStr"/>
      <c r="S46" s="29" t="inlineStr"/>
      <c r="T46" s="32" t="inlineStr"/>
    </row>
    <row r="47" ht="78" customHeight="1">
      <c r="A47" s="28" t="inlineStr">
        <is>
          <t>F047</t>
        </is>
      </c>
      <c r="B47" s="29" t="inlineStr">
        <is>
          <t>E4</t>
        </is>
      </c>
      <c r="C47" s="29" t="inlineStr">
        <is>
          <t>S5</t>
        </is>
      </c>
      <c r="D47" s="33" t="inlineStr">
        <is>
          <t>High</t>
        </is>
      </c>
      <c r="E47" s="29" t="inlineStr">
        <is>
          <t>Certain</t>
        </is>
      </c>
      <c r="F47" s="31" t="n">
        <v>60</v>
      </c>
      <c r="G47" s="29" t="inlineStr">
        <is>
          <t>Correctness</t>
        </is>
      </c>
      <c r="H47" s="29" t="inlineStr">
        <is>
          <t>Backend</t>
        </is>
      </c>
      <c r="I47" s="29" t="inlineStr">
        <is>
          <t>Push</t>
        </is>
      </c>
      <c r="J47" s="29" t="inlineStr">
        <is>
          <t>backend/push.py</t>
        </is>
      </c>
      <c r="K47" s="29" t="inlineStr">
        <is>
          <t>474-497</t>
        </is>
      </c>
      <c r="L47" s="32" t="inlineStr">
        <is>
          <t>The request's database connection is handed to a background thread that outlives it</t>
        </is>
      </c>
      <c r="M47" s="32" t="inlineStr">
        <is>
          <t>send_to_recipient spawns a daemon thread that calls _post(conn, ...), which may call _drop_token(conn, ...). The connection is closed when the request's get_db generator completes.</t>
        </is>
      </c>
      <c r="N47" s="32" t="inlineStr">
        <is>
          <t>Dead FCM tokens are never removed, so device_tokens grows without limit and every send wastes calls on tokens FCM has already rejected. Errors are swallowed, so this is invisible.</t>
        </is>
      </c>
      <c r="O47" s="32" t="inlineStr">
        <is>
          <t>Queue the send with only the data it needs and open a fresh connection (or use a pool) inside the worker.</t>
        </is>
      </c>
      <c r="P47" s="31" t="n">
        <v>2</v>
      </c>
      <c r="Q47" s="29" t="inlineStr">
        <is>
          <t>Open</t>
        </is>
      </c>
      <c r="R47" s="29" t="inlineStr"/>
      <c r="S47" s="29" t="inlineStr"/>
      <c r="T47" s="32" t="inlineStr"/>
    </row>
    <row r="48" ht="78" customHeight="1">
      <c r="A48" s="28" t="inlineStr">
        <is>
          <t>F049</t>
        </is>
      </c>
      <c r="B48" s="29" t="inlineStr">
        <is>
          <t>E4</t>
        </is>
      </c>
      <c r="C48" s="29" t="inlineStr">
        <is>
          <t>S5</t>
        </is>
      </c>
      <c r="D48" s="33" t="inlineStr">
        <is>
          <t>High</t>
        </is>
      </c>
      <c r="E48" s="29" t="inlineStr">
        <is>
          <t>Certain</t>
        </is>
      </c>
      <c r="F48" s="31" t="n">
        <v>60</v>
      </c>
      <c r="G48" s="29" t="inlineStr">
        <is>
          <t>Correctness</t>
        </is>
      </c>
      <c r="H48" s="29" t="inlineStr">
        <is>
          <t>Backend</t>
        </is>
      </c>
      <c r="I48" s="29" t="inlineStr">
        <is>
          <t>Notifications</t>
        </is>
      </c>
      <c r="J48" s="29" t="inlineStr">
        <is>
          <t>backend/routers/notifications.py</t>
        </is>
      </c>
      <c r="K48" s="29" t="inlineStr">
        <is>
          <t>97-126</t>
        </is>
      </c>
      <c r="L48" s="32" t="inlineStr">
        <is>
          <t>New-grievance alerts only reach coordinators whose home_ward exactly matches</t>
        </is>
      </c>
      <c r="M48" s="32" t="inlineStr">
        <is>
          <t>emit_new_grievance selects coordinators WHERE home_ward = str(ward_no) — a string comparison against an integer column, and a single-ward model.</t>
        </is>
      </c>
      <c r="N48" s="32" t="inlineStr">
        <is>
          <t>A grievance in any ward of a constituency where no coordinator has that exact home_ward notifies nobody. With 100 constituencies covering many wards each, complaints will silently go unseen.</t>
        </is>
      </c>
      <c r="O48" s="32" t="inlineStr">
        <is>
          <t>Model a coordinator-to-ward assignment table (many-to-many), normalise types, and notify by constituency with ward-level routing.</t>
        </is>
      </c>
      <c r="P48" s="31" t="n">
        <v>3</v>
      </c>
      <c r="Q48" s="29" t="inlineStr">
        <is>
          <t>Open</t>
        </is>
      </c>
      <c r="R48" s="29" t="inlineStr"/>
      <c r="S48" s="29" t="inlineStr"/>
      <c r="T48" s="32" t="inlineStr"/>
    </row>
    <row r="49" ht="78" customHeight="1">
      <c r="A49" s="28" t="inlineStr">
        <is>
          <t>F054</t>
        </is>
      </c>
      <c r="B49" s="29" t="inlineStr">
        <is>
          <t>E5</t>
        </is>
      </c>
      <c r="C49" s="29" t="inlineStr">
        <is>
          <t>S6</t>
        </is>
      </c>
      <c r="D49" s="33" t="inlineStr">
        <is>
          <t>High</t>
        </is>
      </c>
      <c r="E49" s="29" t="inlineStr">
        <is>
          <t>Certain</t>
        </is>
      </c>
      <c r="F49" s="31" t="n">
        <v>60</v>
      </c>
      <c r="G49" s="29" t="inlineStr">
        <is>
          <t>Compliance</t>
        </is>
      </c>
      <c r="H49" s="29" t="inlineStr">
        <is>
          <t>Backend</t>
        </is>
      </c>
      <c r="I49" s="29" t="inlineStr">
        <is>
          <t>Tenancy</t>
        </is>
      </c>
      <c r="J49" s="29" t="inlineStr">
        <is>
          <t>backend/routers/admin.py</t>
        </is>
      </c>
      <c r="K49" s="29" t="inlineStr">
        <is>
          <t>154-176</t>
        </is>
      </c>
      <c r="L49" s="32" t="inlineStr">
        <is>
          <t>Admin actions are attributed to the literal string 'admin'</t>
        </is>
      </c>
      <c r="M49" s="32" t="inlineStr">
        <is>
          <t>_announce records audit rows with actor_id='admin' regardless of who is signed in.</t>
        </is>
      </c>
      <c r="N49" s="32" t="inlineStr">
        <is>
          <t>No accountability. With 100 offices sharing the surface it is impossible to say which office verified, closed or dismissed a citizen's grievance.</t>
        </is>
      </c>
      <c r="O49" s="32" t="inlineStr">
        <is>
          <t>Record the authenticated operator identity and their constituency on every audit row.</t>
        </is>
      </c>
      <c r="P49" s="31" t="n">
        <v>2</v>
      </c>
      <c r="Q49" s="29" t="inlineStr">
        <is>
          <t>Open</t>
        </is>
      </c>
      <c r="R49" s="29" t="inlineStr"/>
      <c r="S49" s="29" t="inlineStr"/>
      <c r="T49" s="32" t="inlineStr"/>
    </row>
    <row r="50" ht="78" customHeight="1">
      <c r="A50" s="28" t="inlineStr">
        <is>
          <t>F055</t>
        </is>
      </c>
      <c r="B50" s="29" t="inlineStr">
        <is>
          <t>E5</t>
        </is>
      </c>
      <c r="C50" s="29" t="inlineStr">
        <is>
          <t>S6</t>
        </is>
      </c>
      <c r="D50" s="33" t="inlineStr">
        <is>
          <t>High</t>
        </is>
      </c>
      <c r="E50" s="29" t="inlineStr">
        <is>
          <t>Certain</t>
        </is>
      </c>
      <c r="F50" s="31" t="n">
        <v>60</v>
      </c>
      <c r="G50" s="29" t="inlineStr">
        <is>
          <t>Scalability</t>
        </is>
      </c>
      <c r="H50" s="29" t="inlineStr">
        <is>
          <t>Backend</t>
        </is>
      </c>
      <c r="I50" s="29" t="inlineStr">
        <is>
          <t>Model</t>
        </is>
      </c>
      <c r="J50" s="29" t="inlineStr">
        <is>
          <t>backend/database.py</t>
        </is>
      </c>
      <c r="K50" s="29" t="inlineStr">
        <is>
          <t>100-110</t>
        </is>
      </c>
      <c r="L50" s="32" t="inlineStr">
        <is>
          <t>A coordinator is pinned to exactly one home ward</t>
        </is>
      </c>
      <c r="M50" s="32" t="inlineStr">
        <is>
          <t>The coordinators table carries a single home_ward, and the Flutter coordinator screen sets _ward = _me.homeWard with no switcher, despite the API docstring describing ward switching within a constituency.</t>
        </is>
      </c>
      <c r="N50" s="32" t="inlineStr">
        <is>
          <t>A constituency spans many wards. One coordinator per ward means roughly 200 accounts for Chennai alone, and grievances in unstaffed wards reach nobody.</t>
        </is>
      </c>
      <c r="O50" s="32" t="inlineStr">
        <is>
          <t>Introduce a coordinator_wards assignment table and let a coordinator work any ward they are assigned within their constituency.</t>
        </is>
      </c>
      <c r="P50" s="31" t="n">
        <v>5</v>
      </c>
      <c r="Q50" s="29" t="inlineStr">
        <is>
          <t>Open</t>
        </is>
      </c>
      <c r="R50" s="29" t="inlineStr"/>
      <c r="S50" s="29" t="inlineStr"/>
      <c r="T50" s="32" t="inlineStr"/>
    </row>
    <row r="51" ht="78" customHeight="1">
      <c r="A51" s="28" t="inlineStr">
        <is>
          <t>F059</t>
        </is>
      </c>
      <c r="B51" s="29" t="inlineStr">
        <is>
          <t>E6</t>
        </is>
      </c>
      <c r="C51" s="29" t="inlineStr">
        <is>
          <t>S9</t>
        </is>
      </c>
      <c r="D51" s="33" t="inlineStr">
        <is>
          <t>High</t>
        </is>
      </c>
      <c r="E51" s="29" t="inlineStr">
        <is>
          <t>Certain</t>
        </is>
      </c>
      <c r="F51" s="31" t="n">
        <v>60</v>
      </c>
      <c r="G51" s="29" t="inlineStr">
        <is>
          <t>Compliance</t>
        </is>
      </c>
      <c r="H51" s="29" t="inlineStr">
        <is>
          <t>Backend</t>
        </is>
      </c>
      <c r="I51" s="29" t="inlineStr">
        <is>
          <t>PII</t>
        </is>
      </c>
      <c r="J51" s="29" t="inlineStr">
        <is>
          <t>backend/main.py</t>
        </is>
      </c>
      <c r="K51" s="29" t="inlineStr">
        <is>
          <t>272-313</t>
        </is>
      </c>
      <c r="L51" s="32" t="inlineStr">
        <is>
          <t>Every location lookup is logged indefinitely with no consent or expiry</t>
        </is>
      </c>
      <c r="M51" s="32" t="inlineStr">
        <is>
          <t>POST /api/locate writes a location_logs row per call, containing the coordinate, resolved ward and constituency.</t>
        </is>
      </c>
      <c r="N51" s="32" t="inlineStr">
        <is>
          <t>The app calls this on launch and after every location change. Across 100k citizens this builds a detailed, permanent movement history nobody consented to.</t>
        </is>
      </c>
      <c r="O51" s="32" t="inlineStr">
        <is>
          <t>Stop logging individual coordinates, or aggregate to ward level, expire rows within days, and disclose the practice.</t>
        </is>
      </c>
      <c r="P51" s="31" t="n">
        <v>2</v>
      </c>
      <c r="Q51" s="29" t="inlineStr">
        <is>
          <t>Open</t>
        </is>
      </c>
      <c r="R51" s="29" t="inlineStr"/>
      <c r="S51" s="29" t="inlineStr"/>
      <c r="T51" s="32" t="inlineStr"/>
    </row>
    <row r="52" ht="78" customHeight="1">
      <c r="A52" s="28" t="inlineStr">
        <is>
          <t>F065</t>
        </is>
      </c>
      <c r="B52" s="29" t="inlineStr">
        <is>
          <t>E7</t>
        </is>
      </c>
      <c r="C52" s="29" t="inlineStr">
        <is>
          <t>S4</t>
        </is>
      </c>
      <c r="D52" s="33" t="inlineStr">
        <is>
          <t>High</t>
        </is>
      </c>
      <c r="E52" s="29" t="inlineStr">
        <is>
          <t>Certain</t>
        </is>
      </c>
      <c r="F52" s="31" t="n">
        <v>60</v>
      </c>
      <c r="G52" s="29" t="inlineStr">
        <is>
          <t>Performance</t>
        </is>
      </c>
      <c r="H52" s="29" t="inlineStr">
        <is>
          <t>Backend</t>
        </is>
      </c>
      <c r="I52" s="29" t="inlineStr">
        <is>
          <t>Geocoding</t>
        </is>
      </c>
      <c r="J52" s="29" t="inlineStr">
        <is>
          <t>backend/utils.py</t>
        </is>
      </c>
      <c r="K52" s="29" t="inlineStr">
        <is>
          <t>96-124</t>
        </is>
      </c>
      <c r="L52" s="32" t="inlineStr">
        <is>
          <t>Server-side geocoding is a blocking urllib call in the report path</t>
        </is>
      </c>
      <c r="M52" s="32" t="inlineStr">
        <is>
          <t>reverse_geocode uses urllib.request.urlopen with a 5-second timeout, called synchronously from the async report handler.</t>
        </is>
      </c>
      <c r="N52" s="32" t="inlineStr">
        <is>
          <t>Adds up to 5 seconds of event-loop blocking per report on top of the Gemini calls, and the identical lookup is repeated for every grievance in the same street.</t>
        </is>
      </c>
      <c r="O52" s="32" t="inlineStr">
        <is>
          <t>Move to the background enrichment worker with an async client and a coordinate-rounded cache.</t>
        </is>
      </c>
      <c r="P52" s="31" t="n">
        <v>2</v>
      </c>
      <c r="Q52" s="29" t="inlineStr">
        <is>
          <t>Open</t>
        </is>
      </c>
      <c r="R52" s="29" t="inlineStr"/>
      <c r="S52" s="29" t="inlineStr"/>
      <c r="T52" s="32" t="inlineStr"/>
    </row>
    <row r="53" ht="78" customHeight="1">
      <c r="A53" s="28" t="inlineStr">
        <is>
          <t>F069</t>
        </is>
      </c>
      <c r="B53" s="29" t="inlineStr">
        <is>
          <t>E8</t>
        </is>
      </c>
      <c r="C53" s="29" t="inlineStr">
        <is>
          <t>S7</t>
        </is>
      </c>
      <c r="D53" s="33" t="inlineStr">
        <is>
          <t>High</t>
        </is>
      </c>
      <c r="E53" s="29" t="inlineStr">
        <is>
          <t>Certain</t>
        </is>
      </c>
      <c r="F53" s="31" t="n">
        <v>60</v>
      </c>
      <c r="G53" s="29" t="inlineStr">
        <is>
          <t>Cost</t>
        </is>
      </c>
      <c r="H53" s="29" t="inlineStr">
        <is>
          <t>Mobile</t>
        </is>
      </c>
      <c r="I53" s="29" t="inlineStr">
        <is>
          <t>Uploads</t>
        </is>
      </c>
      <c r="J53" s="29" t="inlineStr">
        <is>
          <t>mobile/lib/features/report/widgets/voice_recorder.dart</t>
        </is>
      </c>
      <c r="K53" s="29" t="inlineStr">
        <is>
          <t>41-49</t>
        </is>
      </c>
      <c r="L53" s="32" t="inlineStr">
        <is>
          <t>Voice notes are uncapped and recorded at 128 kbps / 44.1 kHz</t>
        </is>
      </c>
      <c r="M53" s="32" t="inlineStr">
        <is>
          <t>RecordConfig uses aacLc at 128000 bps and 44100 Hz with no maximum duration.</t>
        </is>
      </c>
      <c r="N53" s="32" t="inlineStr">
        <is>
          <t>Roughly 1 MB per minute with no ceiling, uploaded and then billed as Gemini audio input. Speech needs a fraction of this. Direct cost and data-usage burden on citizens on metered connections.</t>
        </is>
      </c>
      <c r="O53" s="32" t="inlineStr">
        <is>
          <t>Cap recording at 60-90 seconds, drop to 16 kHz mono at around 24-32 kbps, and show the remaining time.</t>
        </is>
      </c>
      <c r="P53" s="31" t="n">
        <v>2</v>
      </c>
      <c r="Q53" s="29" t="inlineStr">
        <is>
          <t>Open</t>
        </is>
      </c>
      <c r="R53" s="29" t="inlineStr"/>
      <c r="S53" s="29" t="inlineStr"/>
      <c r="T53" s="32" t="inlineStr"/>
    </row>
    <row r="54" ht="78" customHeight="1">
      <c r="A54" s="28" t="inlineStr">
        <is>
          <t>F071</t>
        </is>
      </c>
      <c r="B54" s="29" t="inlineStr">
        <is>
          <t>E8</t>
        </is>
      </c>
      <c r="C54" s="29" t="inlineStr">
        <is>
          <t>S7</t>
        </is>
      </c>
      <c r="D54" s="33" t="inlineStr">
        <is>
          <t>High</t>
        </is>
      </c>
      <c r="E54" s="29" t="inlineStr">
        <is>
          <t>Certain</t>
        </is>
      </c>
      <c r="F54" s="31" t="n">
        <v>60</v>
      </c>
      <c r="G54" s="29" t="inlineStr">
        <is>
          <t>Performance</t>
        </is>
      </c>
      <c r="H54" s="29" t="inlineStr">
        <is>
          <t>Mobile</t>
        </is>
      </c>
      <c r="I54" s="29" t="inlineStr">
        <is>
          <t>Caching</t>
        </is>
      </c>
      <c r="J54" s="29" t="inlineStr">
        <is>
          <t>mobile/lib/features/home/home_screen.dart</t>
        </is>
      </c>
      <c r="K54" s="29" t="inlineStr">
        <is>
          <t>271-278, 428-433</t>
        </is>
      </c>
      <c r="L54" s="32" t="inlineStr">
        <is>
          <t>No offline or on-disk cache — every screen open refetches everything</t>
        </is>
      </c>
      <c r="M54" s="32" t="inlineStr">
        <is>
          <t>_loadBoundaries, _loadWard and _loadHistory all fetch from the network on mount and again on every app resume. Nothing is persisted.</t>
        </is>
      </c>
      <c r="N54" s="32" t="inlineStr">
        <is>
          <t>The full ward geometry plus the ward feed is re-downloaded on every launch and resume, for every one of 100k users. Expensive for the citizen's data plan and for egress, and the app is unusable offline.</t>
        </is>
      </c>
      <c r="O54" s="32" t="inlineStr">
        <is>
          <t>Persist boundaries and the last feed to disk with a TTL, render from cache first and revalidate in the background.</t>
        </is>
      </c>
      <c r="P54" s="31" t="n">
        <v>5</v>
      </c>
      <c r="Q54" s="29" t="inlineStr">
        <is>
          <t>Open</t>
        </is>
      </c>
      <c r="R54" s="29" t="inlineStr"/>
      <c r="S54" s="29" t="inlineStr"/>
      <c r="T54" s="32" t="inlineStr"/>
    </row>
    <row r="55" ht="78" customHeight="1">
      <c r="A55" s="28" t="inlineStr">
        <is>
          <t>F077</t>
        </is>
      </c>
      <c r="B55" s="29" t="inlineStr">
        <is>
          <t>E9</t>
        </is>
      </c>
      <c r="C55" s="29" t="inlineStr">
        <is>
          <t>S8</t>
        </is>
      </c>
      <c r="D55" s="33" t="inlineStr">
        <is>
          <t>High</t>
        </is>
      </c>
      <c r="E55" s="29" t="inlineStr">
        <is>
          <t>Certain</t>
        </is>
      </c>
      <c r="F55" s="31" t="n">
        <v>60</v>
      </c>
      <c r="G55" s="29" t="inlineStr">
        <is>
          <t>Performance</t>
        </is>
      </c>
      <c r="H55" s="29" t="inlineStr">
        <is>
          <t>Admin Dashboard</t>
        </is>
      </c>
      <c r="I55" s="29" t="inlineStr">
        <is>
          <t>Aggregation</t>
        </is>
      </c>
      <c r="J55" s="29" t="inlineStr">
        <is>
          <t>frontend/app/admin/page.js</t>
        </is>
      </c>
      <c r="K55" s="29" t="inlineStr">
        <is>
          <t>55-85</t>
        </is>
      </c>
      <c r="L55" s="32" t="inlineStr">
        <is>
          <t>Status counts and KPIs are recomputed client-side over the full dataset</t>
        </is>
      </c>
      <c r="M55" s="32" t="inlineStr">
        <is>
          <t>Every tab count and KPI is a useMemo over the complete issues array; the performance page does the same.</t>
        </is>
      </c>
      <c r="N55" s="32" t="inlineStr">
        <is>
          <t>Each filter change re-scans the entire dataset in the browser. Interaction latency grows linearly with grievance volume.</t>
        </is>
      </c>
      <c r="O55" s="32" t="inlineStr">
        <is>
          <t>Add server-side aggregate endpoints returning counts and KPIs directly.</t>
        </is>
      </c>
      <c r="P55" s="31" t="n">
        <v>4</v>
      </c>
      <c r="Q55" s="29" t="inlineStr">
        <is>
          <t>Open</t>
        </is>
      </c>
      <c r="R55" s="29" t="inlineStr"/>
      <c r="S55" s="29" t="inlineStr"/>
      <c r="T55" s="32" t="inlineStr"/>
    </row>
    <row r="56" ht="78" customHeight="1">
      <c r="A56" s="28" t="inlineStr">
        <is>
          <t>F079</t>
        </is>
      </c>
      <c r="B56" s="29" t="inlineStr">
        <is>
          <t>E9</t>
        </is>
      </c>
      <c r="C56" s="29" t="inlineStr">
        <is>
          <t>S8</t>
        </is>
      </c>
      <c r="D56" s="33" t="inlineStr">
        <is>
          <t>High</t>
        </is>
      </c>
      <c r="E56" s="29" t="inlineStr">
        <is>
          <t>Certain</t>
        </is>
      </c>
      <c r="F56" s="31" t="n">
        <v>60</v>
      </c>
      <c r="G56" s="29" t="inlineStr">
        <is>
          <t>Performance</t>
        </is>
      </c>
      <c r="H56" s="29" t="inlineStr">
        <is>
          <t>Admin Dashboard</t>
        </is>
      </c>
      <c r="I56" s="29" t="inlineStr">
        <is>
          <t>Search</t>
        </is>
      </c>
      <c r="J56" s="29" t="inlineStr">
        <is>
          <t>backend/routers/admin.py</t>
        </is>
      </c>
      <c r="K56" s="29" t="inlineStr">
        <is>
          <t>84-90</t>
        </is>
      </c>
      <c r="L56" s="32" t="inlineStr">
        <is>
          <t>Free-text search is an unindexed LIKE '%term%' across four columns</t>
        </is>
      </c>
      <c r="M56" s="32" t="inlineStr">
        <is>
          <t>The q filter applies LOWER(...) LIKE ? to ticket_number, title, name and phone.</t>
        </is>
      </c>
      <c r="N56" s="32" t="inlineStr">
        <is>
          <t>A leading-wildcard LIKE cannot use an index. Every search is a full scan with per-row function calls over 100k+ rows.</t>
        </is>
      </c>
      <c r="O56" s="32" t="inlineStr">
        <is>
          <t>Use PostgreSQL full-text search or a trigram index; index ticket_number for exact lookup.</t>
        </is>
      </c>
      <c r="P56" s="31" t="n">
        <v>3</v>
      </c>
      <c r="Q56" s="29" t="inlineStr">
        <is>
          <t>Open</t>
        </is>
      </c>
      <c r="R56" s="29" t="inlineStr"/>
      <c r="S56" s="29" t="inlineStr"/>
      <c r="T56" s="32" t="inlineStr"/>
    </row>
    <row r="57" ht="78" customHeight="1">
      <c r="A57" s="28" t="inlineStr">
        <is>
          <t>F080</t>
        </is>
      </c>
      <c r="B57" s="29" t="inlineStr">
        <is>
          <t>E9</t>
        </is>
      </c>
      <c r="C57" s="29" t="inlineStr">
        <is>
          <t>S8</t>
        </is>
      </c>
      <c r="D57" s="33" t="inlineStr">
        <is>
          <t>High</t>
        </is>
      </c>
      <c r="E57" s="29" t="inlineStr">
        <is>
          <t>Certain</t>
        </is>
      </c>
      <c r="F57" s="31" t="n">
        <v>60</v>
      </c>
      <c r="G57" s="29" t="inlineStr">
        <is>
          <t>Scalability</t>
        </is>
      </c>
      <c r="H57" s="29" t="inlineStr">
        <is>
          <t>Admin Dashboard</t>
        </is>
      </c>
      <c r="I57" s="29" t="inlineStr">
        <is>
          <t>Model</t>
        </is>
      </c>
      <c r="J57" s="29" t="inlineStr">
        <is>
          <t>frontend/lib/communityInsights.js</t>
        </is>
      </c>
      <c r="K57" s="29" t="inlineStr">
        <is>
          <t>20-38</t>
        </is>
      </c>
      <c r="L57" s="32" t="inlineStr">
        <is>
          <t>MLA directory is a hardcoded 16-entry constant</t>
        </is>
      </c>
      <c r="M57" s="32" t="inlineStr">
        <is>
          <t>MLA_BY_AC maps only the 16 Chennai constituencies, with images served from static paths and several records marked 'Data Pending'.</t>
        </is>
      </c>
      <c r="N57" s="32" t="inlineStr">
        <is>
          <t>Cannot represent 100 MLA offices. Onboarding an office requires a code change and a redeploy.</t>
        </is>
      </c>
      <c r="O57" s="32" t="inlineStr">
        <is>
          <t>Move MLA and constituency records into the database with an admin-managed onboarding screen.</t>
        </is>
      </c>
      <c r="P57" s="31" t="n">
        <v>3</v>
      </c>
      <c r="Q57" s="29" t="inlineStr">
        <is>
          <t>Open</t>
        </is>
      </c>
      <c r="R57" s="29" t="inlineStr"/>
      <c r="S57" s="29" t="inlineStr"/>
      <c r="T57" s="32" t="inlineStr"/>
    </row>
    <row r="58" ht="78" customHeight="1">
      <c r="A58" s="28" t="inlineStr">
        <is>
          <t>F084</t>
        </is>
      </c>
      <c r="B58" s="29" t="inlineStr">
        <is>
          <t>E10</t>
        </is>
      </c>
      <c r="C58" s="29" t="inlineStr">
        <is>
          <t>S10</t>
        </is>
      </c>
      <c r="D58" s="33" t="inlineStr">
        <is>
          <t>High</t>
        </is>
      </c>
      <c r="E58" s="29" t="inlineStr">
        <is>
          <t>Certain</t>
        </is>
      </c>
      <c r="F58" s="31" t="n">
        <v>60</v>
      </c>
      <c r="G58" s="29" t="inlineStr">
        <is>
          <t>Reliability</t>
        </is>
      </c>
      <c r="H58" s="29" t="inlineStr">
        <is>
          <t>Operations</t>
        </is>
      </c>
      <c r="I58" s="29" t="inlineStr">
        <is>
          <t>Observability</t>
        </is>
      </c>
      <c r="J58" s="29" t="inlineStr">
        <is>
          <t>backend/</t>
        </is>
      </c>
      <c r="K58" s="29" t="inlineStr">
        <is>
          <t>-</t>
        </is>
      </c>
      <c r="L58" s="32" t="inlineStr">
        <is>
          <t>Observability is print() to stdout</t>
        </is>
      </c>
      <c r="M58" s="32" t="inlineStr">
        <is>
          <t>Diagnostics throughout the backend use print(). There is no structured logging, no request id, no metrics and no tracing.</t>
        </is>
      </c>
      <c r="N58" s="32" t="inlineStr">
        <is>
          <t>At 100-office scale an incident cannot be diagnosed: there is no way to correlate a citizen's report of failure with a request, or to see error rates and latency.</t>
        </is>
      </c>
      <c r="O58" s="32" t="inlineStr">
        <is>
          <t>Structured JSON logging with correlation ids, Prometheus metrics (or the platform equivalent) and error-rate alerting.</t>
        </is>
      </c>
      <c r="P58" s="31" t="n">
        <v>4</v>
      </c>
      <c r="Q58" s="29" t="inlineStr">
        <is>
          <t>Open</t>
        </is>
      </c>
      <c r="R58" s="29" t="inlineStr"/>
      <c r="S58" s="29" t="inlineStr"/>
      <c r="T58" s="32" t="inlineStr"/>
    </row>
    <row r="59" ht="78" customHeight="1">
      <c r="A59" s="28" t="inlineStr">
        <is>
          <t>F089</t>
        </is>
      </c>
      <c r="B59" s="29" t="inlineStr">
        <is>
          <t>E3</t>
        </is>
      </c>
      <c r="C59" s="29" t="inlineStr">
        <is>
          <t>S4</t>
        </is>
      </c>
      <c r="D59" s="33" t="inlineStr">
        <is>
          <t>High</t>
        </is>
      </c>
      <c r="E59" s="29" t="inlineStr">
        <is>
          <t>Certain</t>
        </is>
      </c>
      <c r="F59" s="31" t="n">
        <v>60</v>
      </c>
      <c r="G59" s="29" t="inlineStr">
        <is>
          <t>Correctness</t>
        </is>
      </c>
      <c r="H59" s="29" t="inlineStr">
        <is>
          <t>Backend</t>
        </is>
      </c>
      <c r="I59" s="29" t="inlineStr">
        <is>
          <t>Report path</t>
        </is>
      </c>
      <c r="J59" s="29" t="inlineStr">
        <is>
          <t>backend/routers/issues.py</t>
        </is>
      </c>
      <c r="K59" s="29" t="inlineStr">
        <is>
          <t>86-88</t>
        </is>
      </c>
      <c r="L59" s="32" t="inlineStr">
        <is>
          <t>Reports outside the loaded boundaries are rejected with a 422</t>
        </is>
      </c>
      <c r="M59" s="32" t="inlineStr">
        <is>
          <t>If the coordinate resolves to no ward, report_issue raises 422 with 'Grievances outside GCC boundaries are not accepted right now.'</t>
        </is>
      </c>
      <c r="N59" s="32" t="inlineStr">
        <is>
          <t>Correct while the service is Chennai-only, but it means a citizen in any of the other 99 constituencies is refused outright until F052 lands. It also means a boundary-loading failure at startup silently rejects every report statewide.</t>
        </is>
      </c>
      <c r="O59" s="32" t="inlineStr">
        <is>
          <t>Make the served region configurable per tenant, and fail loudly at startup if boundaries did not load rather than rejecting live traffic.</t>
        </is>
      </c>
      <c r="P59" s="31" t="n">
        <v>2</v>
      </c>
      <c r="Q59" s="29" t="inlineStr">
        <is>
          <t>Open</t>
        </is>
      </c>
      <c r="R59" s="29" t="inlineStr"/>
      <c r="S59" s="29" t="inlineStr"/>
      <c r="T59" s="32" t="inlineStr"/>
    </row>
    <row r="60" ht="78" customHeight="1">
      <c r="A60" s="28" t="inlineStr">
        <is>
          <t>F090</t>
        </is>
      </c>
      <c r="B60" s="29" t="inlineStr">
        <is>
          <t>E2</t>
        </is>
      </c>
      <c r="C60" s="29" t="inlineStr">
        <is>
          <t>S3</t>
        </is>
      </c>
      <c r="D60" s="33" t="inlineStr">
        <is>
          <t>High</t>
        </is>
      </c>
      <c r="E60" s="29" t="inlineStr">
        <is>
          <t>Certain</t>
        </is>
      </c>
      <c r="F60" s="31" t="n">
        <v>60</v>
      </c>
      <c r="G60" s="29" t="inlineStr">
        <is>
          <t>Performance</t>
        </is>
      </c>
      <c r="H60" s="29" t="inlineStr">
        <is>
          <t>Backend</t>
        </is>
      </c>
      <c r="I60" s="29" t="inlineStr">
        <is>
          <t>Startup</t>
        </is>
      </c>
      <c r="J60" s="29" t="inlineStr">
        <is>
          <t>backend/main.py</t>
        </is>
      </c>
      <c r="K60" s="29" t="inlineStr">
        <is>
          <t>51-84</t>
        </is>
      </c>
      <c r="L60" s="32" t="inlineStr">
        <is>
          <t>A full-table backfill runs on every application start</t>
        </is>
      </c>
      <c r="M60" s="32" t="inlineStr">
        <is>
          <t>_backfill_zones_and_departments() selects every row in issues and may recompute point-in-polygon lookups and department classification for each.</t>
        </is>
      </c>
      <c r="N60" s="32" t="inlineStr">
        <is>
          <t>At 100k+ rows this makes every restart slow and write-heavy, delaying readiness and holding write locks exactly when the service is trying to come up.</t>
        </is>
      </c>
      <c r="O60" s="32" t="inlineStr">
        <is>
          <t>Run backfills as one-off migrations, not on startup.</t>
        </is>
      </c>
      <c r="P60" s="31" t="n">
        <v>2</v>
      </c>
      <c r="Q60" s="29" t="inlineStr">
        <is>
          <t>Open</t>
        </is>
      </c>
      <c r="R60" s="29" t="inlineStr"/>
      <c r="S60" s="29" t="inlineStr"/>
      <c r="T60" s="32" t="inlineStr"/>
    </row>
    <row r="61" ht="78" customHeight="1">
      <c r="A61" s="28" t="inlineStr">
        <is>
          <t>F021</t>
        </is>
      </c>
      <c r="B61" s="29" t="inlineStr">
        <is>
          <t>E2</t>
        </is>
      </c>
      <c r="C61" s="29" t="inlineStr">
        <is>
          <t>S3</t>
        </is>
      </c>
      <c r="D61" s="33" t="inlineStr">
        <is>
          <t>High</t>
        </is>
      </c>
      <c r="E61" s="29" t="inlineStr">
        <is>
          <t>Likely</t>
        </is>
      </c>
      <c r="F61" s="31" t="n">
        <v>48</v>
      </c>
      <c r="G61" s="29" t="inlineStr">
        <is>
          <t>Correctness</t>
        </is>
      </c>
      <c r="H61" s="29" t="inlineStr">
        <is>
          <t>Database</t>
        </is>
      </c>
      <c r="I61" s="29" t="inlineStr">
        <is>
          <t>Integrity</t>
        </is>
      </c>
      <c r="J61" s="29" t="inlineStr">
        <is>
          <t>backend/utils.py</t>
        </is>
      </c>
      <c r="K61" s="29" t="inlineStr">
        <is>
          <t>56-64</t>
        </is>
      </c>
      <c r="L61" s="32" t="inlineStr">
        <is>
          <t>Ticket numbers are 32-bit and not unique-constrained — collisions are near-certain</t>
        </is>
      </c>
      <c r="M61" s="32" t="inlineStr">
        <is>
          <t>ticket_number() takes the first 8 hex characters of the UUID, giving a 2^32 space. There is no UNIQUE constraint on issues.ticket_number.</t>
        </is>
      </c>
      <c r="N61" s="32" t="inlineStr">
        <is>
          <t>At 100,000 grievances the birthday-collision probability is roughly 69%; by 250,000 it is effectively certain. Two citizens are handed the same tracking number and search by ticket returns the wrong record.</t>
        </is>
      </c>
      <c r="O61" s="32" t="inlineStr">
        <is>
          <t>Use a sequential, checksummed, constituency-prefixed ticket id (e.g. NK-{AC}-{YY}-{seq}) with a UNIQUE constraint.</t>
        </is>
      </c>
      <c r="P61" s="31" t="n">
        <v>3</v>
      </c>
      <c r="Q61" s="29" t="inlineStr">
        <is>
          <t>Open</t>
        </is>
      </c>
      <c r="R61" s="29" t="inlineStr"/>
      <c r="S61" s="29" t="inlineStr"/>
      <c r="T61" s="32" t="inlineStr"/>
    </row>
    <row r="62" ht="78" customHeight="1">
      <c r="A62" s="28" t="inlineStr">
        <is>
          <t>F024</t>
        </is>
      </c>
      <c r="B62" s="29" t="inlineStr">
        <is>
          <t>E2</t>
        </is>
      </c>
      <c r="C62" s="29" t="inlineStr">
        <is>
          <t>S3</t>
        </is>
      </c>
      <c r="D62" s="33" t="inlineStr">
        <is>
          <t>High</t>
        </is>
      </c>
      <c r="E62" s="29" t="inlineStr">
        <is>
          <t>Likely</t>
        </is>
      </c>
      <c r="F62" s="31" t="n">
        <v>48</v>
      </c>
      <c r="G62" s="29" t="inlineStr">
        <is>
          <t>Correctness</t>
        </is>
      </c>
      <c r="H62" s="29" t="inlineStr">
        <is>
          <t>Database</t>
        </is>
      </c>
      <c r="I62" s="29" t="inlineStr">
        <is>
          <t>Concurrency</t>
        </is>
      </c>
      <c r="J62" s="29" t="inlineStr">
        <is>
          <t>backend/routers/coordinator.py</t>
        </is>
      </c>
      <c r="K62" s="29" t="inlineStr">
        <is>
          <t>143-182</t>
        </is>
      </c>
      <c r="L62" s="32" t="inlineStr">
        <is>
          <t>Ticket claim has a check-then-act race</t>
        </is>
      </c>
      <c r="M62" s="32" t="inlineStr">
        <is>
          <t>coord_verify SELECTs assigned_coordinator, checks it, then UPDATEs. Two coordinators claiming simultaneously both pass the check; the last write wins silently.</t>
        </is>
      </c>
      <c r="N62" s="32" t="inlineStr">
        <is>
          <t>Two staff members work the same grievance, or one loses a ticket they believe they own. More likely as concurrency rises across 100 offices.</t>
        </is>
      </c>
      <c r="O62" s="32" t="inlineStr">
        <is>
          <t>Make the claim a conditional update: UPDATE ... WHERE id = ? AND (assigned_coordinator IS NULL OR assigned_coordinator = ''), then check rowcount.</t>
        </is>
      </c>
      <c r="P62" s="31" t="n">
        <v>1</v>
      </c>
      <c r="Q62" s="29" t="inlineStr">
        <is>
          <t>Open</t>
        </is>
      </c>
      <c r="R62" s="29" t="inlineStr"/>
      <c r="S62" s="29" t="inlineStr"/>
      <c r="T62" s="32" t="inlineStr"/>
    </row>
    <row r="63" ht="78" customHeight="1">
      <c r="A63" s="28" t="inlineStr">
        <is>
          <t>F026</t>
        </is>
      </c>
      <c r="B63" s="29" t="inlineStr">
        <is>
          <t>E2</t>
        </is>
      </c>
      <c r="C63" s="29" t="inlineStr">
        <is>
          <t>S6</t>
        </is>
      </c>
      <c r="D63" s="33" t="inlineStr">
        <is>
          <t>High</t>
        </is>
      </c>
      <c r="E63" s="29" t="inlineStr">
        <is>
          <t>Likely</t>
        </is>
      </c>
      <c r="F63" s="31" t="n">
        <v>48</v>
      </c>
      <c r="G63" s="29" t="inlineStr">
        <is>
          <t>Correctness</t>
        </is>
      </c>
      <c r="H63" s="29" t="inlineStr">
        <is>
          <t>Database</t>
        </is>
      </c>
      <c r="I63" s="29" t="inlineStr">
        <is>
          <t>Integrity</t>
        </is>
      </c>
      <c r="J63" s="29" t="inlineStr">
        <is>
          <t>backend/routers/coordinators_admin.py</t>
        </is>
      </c>
      <c r="K63" s="29" t="inlineStr">
        <is>
          <t>129-137</t>
        </is>
      </c>
      <c r="L63" s="32" t="inlineStr">
        <is>
          <t>Deleting a coordinator orphans every grievance assigned to them</t>
        </is>
      </c>
      <c r="M63" s="32" t="inlineStr">
        <is>
          <t>delete_coordinator hard-deletes the row. issues.assigned_coordinator keeps the dead username, and there is no foreign key or reassignment.</t>
        </is>
      </c>
      <c r="N63" s="32" t="inlineStr">
        <is>
          <t>Orphaned grievances vanish from every coordinator's ward view (they appear assigned to someone else) and can never be acted on again. Silent loss of live citizen complaints.</t>
        </is>
      </c>
      <c r="O63" s="32" t="inlineStr">
        <is>
          <t>Soft-delete (status='deleted'), block deletion while tickets are assigned, or force bulk reassignment first. Add a foreign key.</t>
        </is>
      </c>
      <c r="P63" s="31" t="n">
        <v>2</v>
      </c>
      <c r="Q63" s="29" t="inlineStr">
        <is>
          <t>Open</t>
        </is>
      </c>
      <c r="R63" s="29" t="inlineStr"/>
      <c r="S63" s="29" t="inlineStr"/>
      <c r="T63" s="32" t="inlineStr"/>
    </row>
    <row r="64" ht="78" customHeight="1">
      <c r="A64" s="28" t="inlineStr">
        <is>
          <t>F048</t>
        </is>
      </c>
      <c r="B64" s="29" t="inlineStr">
        <is>
          <t>E4</t>
        </is>
      </c>
      <c r="C64" s="29" t="inlineStr">
        <is>
          <t>S5</t>
        </is>
      </c>
      <c r="D64" s="33" t="inlineStr">
        <is>
          <t>High</t>
        </is>
      </c>
      <c r="E64" s="29" t="inlineStr">
        <is>
          <t>Likely</t>
        </is>
      </c>
      <c r="F64" s="31" t="n">
        <v>48</v>
      </c>
      <c r="G64" s="29" t="inlineStr">
        <is>
          <t>Scalability</t>
        </is>
      </c>
      <c r="H64" s="29" t="inlineStr">
        <is>
          <t>Backend</t>
        </is>
      </c>
      <c r="I64" s="29" t="inlineStr">
        <is>
          <t>Push</t>
        </is>
      </c>
      <c r="J64" s="29" t="inlineStr">
        <is>
          <t>backend/push.py</t>
        </is>
      </c>
      <c r="K64" s="29" t="inlineStr">
        <is>
          <t>474-497</t>
        </is>
      </c>
      <c r="L64" s="32" t="inlineStr">
        <is>
          <t>One OS thread spawned per notification, sending serially</t>
        </is>
      </c>
      <c r="M64" s="32" t="inlineStr">
        <is>
          <t>Each _insert() call starts a new daemon thread that loops tokens with a blocking 10-second httpx.post each.</t>
        </is>
      </c>
      <c r="N64" s="32" t="inlineStr">
        <is>
          <t>A ward-wide fan-out at scale spawns threads faster than they retire. Thread exhaustion under load, and no batching of FCM sends.</t>
        </is>
      </c>
      <c r="O64" s="32" t="inlineStr">
        <is>
          <t>Use a bounded worker pool or a real task queue, and the FCM batch send endpoint.</t>
        </is>
      </c>
      <c r="P64" s="31" t="n">
        <v>3</v>
      </c>
      <c r="Q64" s="29" t="inlineStr">
        <is>
          <t>Open</t>
        </is>
      </c>
      <c r="R64" s="29" t="inlineStr"/>
      <c r="S64" s="29" t="inlineStr"/>
      <c r="T64" s="32" t="inlineStr"/>
    </row>
    <row r="65" ht="78" customHeight="1">
      <c r="A65" s="28" t="inlineStr">
        <is>
          <t>F066</t>
        </is>
      </c>
      <c r="B65" s="29" t="inlineStr">
        <is>
          <t>E7</t>
        </is>
      </c>
      <c r="C65" s="29" t="inlineStr">
        <is>
          <t>S9</t>
        </is>
      </c>
      <c r="D65" s="33" t="inlineStr">
        <is>
          <t>High</t>
        </is>
      </c>
      <c r="E65" s="29" t="inlineStr">
        <is>
          <t>Likely</t>
        </is>
      </c>
      <c r="F65" s="31" t="n">
        <v>48</v>
      </c>
      <c r="G65" s="29" t="inlineStr">
        <is>
          <t>Cost</t>
        </is>
      </c>
      <c r="H65" s="29" t="inlineStr">
        <is>
          <t>Backend</t>
        </is>
      </c>
      <c r="I65" s="29" t="inlineStr">
        <is>
          <t>AI</t>
        </is>
      </c>
      <c r="J65" s="29" t="inlineStr">
        <is>
          <t>backend/gemini_service.py</t>
        </is>
      </c>
      <c r="K65" s="29" t="inlineStr">
        <is>
          <t>24-40</t>
        </is>
      </c>
      <c r="L65" s="32" t="inlineStr">
        <is>
          <t>No per-tenant AI quota, budget ceiling or usage attribution</t>
        </is>
      </c>
      <c r="M65" s="32" t="inlineStr">
        <is>
          <t>Model selection and retry are configurable, but nothing tracks or caps spend, and no usage is attributed to a constituency.</t>
        </is>
      </c>
      <c r="N65" s="32" t="inlineStr">
        <is>
          <t>A single busy constituency, or an abusive client, can consume the entire AI budget for all 100 offices with no early warning.</t>
        </is>
      </c>
      <c r="O65" s="32" t="inlineStr">
        <is>
          <t>Track token usage per tenant, enforce daily quotas, add budget alerts, and degrade to the keyword classifier when a cap is reached.</t>
        </is>
      </c>
      <c r="P65" s="31" t="n">
        <v>4</v>
      </c>
      <c r="Q65" s="29" t="inlineStr">
        <is>
          <t>Open</t>
        </is>
      </c>
      <c r="R65" s="29" t="inlineStr"/>
      <c r="S65" s="29" t="inlineStr"/>
      <c r="T65" s="32" t="inlineStr"/>
    </row>
    <row r="66" ht="78" customHeight="1">
      <c r="A66" s="28" t="inlineStr">
        <is>
          <t>F072</t>
        </is>
      </c>
      <c r="B66" s="29" t="inlineStr">
        <is>
          <t>E8</t>
        </is>
      </c>
      <c r="C66" s="29" t="inlineStr">
        <is>
          <t>S8</t>
        </is>
      </c>
      <c r="D66" s="33" t="inlineStr">
        <is>
          <t>High</t>
        </is>
      </c>
      <c r="E66" s="29" t="inlineStr">
        <is>
          <t>Likely</t>
        </is>
      </c>
      <c r="F66" s="31" t="n">
        <v>48</v>
      </c>
      <c r="G66" s="29" t="inlineStr">
        <is>
          <t>Performance</t>
        </is>
      </c>
      <c r="H66" s="29" t="inlineStr">
        <is>
          <t>Mobile</t>
        </is>
      </c>
      <c r="I66" s="29" t="inlineStr">
        <is>
          <t>Rendering</t>
        </is>
      </c>
      <c r="J66" s="29" t="inlineStr">
        <is>
          <t>mobile/lib/features/home/widgets/map_card.dart</t>
        </is>
      </c>
      <c r="K66" s="29" t="inlineStr">
        <is>
          <t>308-324</t>
        </is>
      </c>
      <c r="L66" s="32" t="inlineStr">
        <is>
          <t>All 216 boundary polygons and every issue marker are rendered without clustering</t>
        </is>
      </c>
      <c r="M66" s="32" t="inlineStr">
        <is>
          <t>PolygonLayer receives every ward and zone polygon, and MarkerLayer builds one marker per issue in the filtered list.</t>
        </is>
      </c>
      <c r="N66" s="32" t="inlineStr">
        <is>
          <t>On entry-level Android hardware this drops frames today and degrades as grievance density grows. No viewport culling, no simplification by zoom, no marker clustering.</t>
        </is>
      </c>
      <c r="O66" s="32" t="inlineStr">
        <is>
          <t>Cull polygons to the viewport, simplify by zoom level, and cluster markers.</t>
        </is>
      </c>
      <c r="P66" s="31" t="n">
        <v>4</v>
      </c>
      <c r="Q66" s="29" t="inlineStr">
        <is>
          <t>Open</t>
        </is>
      </c>
      <c r="R66" s="29" t="inlineStr"/>
      <c r="S66" s="29" t="inlineStr"/>
      <c r="T66" s="32" t="inlineStr"/>
    </row>
    <row r="67" ht="78" customHeight="1">
      <c r="A67" s="28" t="inlineStr">
        <is>
          <t>F074</t>
        </is>
      </c>
      <c r="B67" s="29" t="inlineStr">
        <is>
          <t>E8</t>
        </is>
      </c>
      <c r="C67" s="29" t="inlineStr">
        <is>
          <t>S7</t>
        </is>
      </c>
      <c r="D67" s="33" t="inlineStr">
        <is>
          <t>High</t>
        </is>
      </c>
      <c r="E67" s="29" t="inlineStr">
        <is>
          <t>Likely</t>
        </is>
      </c>
      <c r="F67" s="31" t="n">
        <v>48</v>
      </c>
      <c r="G67" s="29" t="inlineStr">
        <is>
          <t>Correctness</t>
        </is>
      </c>
      <c r="H67" s="29" t="inlineStr">
        <is>
          <t>Mobile</t>
        </is>
      </c>
      <c r="I67" s="29" t="inlineStr">
        <is>
          <t>Fair use</t>
        </is>
      </c>
      <c r="J67" s="29" t="inlineStr">
        <is>
          <t>mobile/lib/domain/daily_limit.dart</t>
        </is>
      </c>
      <c r="K67" s="29" t="inlineStr">
        <is>
          <t>186-229</t>
        </is>
      </c>
      <c r="L67" s="32" t="inlineStr">
        <is>
          <t>Daily grievance and support quotas are client-side only and never enforced</t>
        </is>
      </c>
      <c r="M67" s="32" t="inlineStr">
        <is>
          <t>DailyLimit stores counters in SharedPreferences and the docstring states it is display-only and never blocks the action. The server enforces nothing.</t>
        </is>
      </c>
      <c r="N67" s="32" t="inlineStr">
        <is>
          <t>The advertised fair-use limits are decorative. Clearing app data resets them, and a scripted client ignores them entirely. Nothing stops one actor flooding a ward's queue.</t>
        </is>
      </c>
      <c r="O67" s="32" t="inlineStr">
        <is>
          <t>Enforce quotas server-side per account with a clear client-side message; keep the local counter only as an optimistic display.</t>
        </is>
      </c>
      <c r="P67" s="31" t="n">
        <v>3</v>
      </c>
      <c r="Q67" s="29" t="inlineStr">
        <is>
          <t>Open</t>
        </is>
      </c>
      <c r="R67" s="29" t="inlineStr"/>
      <c r="S67" s="29" t="inlineStr"/>
      <c r="T67" s="32" t="inlineStr"/>
    </row>
    <row r="68" ht="78" customHeight="1">
      <c r="A68" s="28" t="inlineStr">
        <is>
          <t>F006</t>
        </is>
      </c>
      <c r="B68" s="29" t="inlineStr">
        <is>
          <t>E1</t>
        </is>
      </c>
      <c r="C68" s="29" t="inlineStr">
        <is>
          <t>S1</t>
        </is>
      </c>
      <c r="D68" s="33" t="inlineStr">
        <is>
          <t>High</t>
        </is>
      </c>
      <c r="E68" s="29" t="inlineStr">
        <is>
          <t>Possible</t>
        </is>
      </c>
      <c r="F68" s="31" t="n">
        <v>30</v>
      </c>
      <c r="G68" s="29" t="inlineStr">
        <is>
          <t>Security</t>
        </is>
      </c>
      <c r="H68" s="29" t="inlineStr">
        <is>
          <t>Backend</t>
        </is>
      </c>
      <c r="I68" s="29" t="inlineStr">
        <is>
          <t>Auth</t>
        </is>
      </c>
      <c r="J68" s="29" t="inlineStr">
        <is>
          <t>backend/routers/auth.py</t>
        </is>
      </c>
      <c r="K68" s="29" t="inlineStr">
        <is>
          <t>246-260</t>
        </is>
      </c>
      <c r="L68" s="32" t="inlineStr">
        <is>
          <t>set-pin is unauthenticated — anyone can set the app-open PIN for any account</t>
        </is>
      </c>
      <c r="M68" s="32" t="inlineStr">
        <is>
          <t>POST /api/auth/set-pin accepts user_id and pin_hash with no proof of ownership and overwrites users.pin_hash.</t>
        </is>
      </c>
      <c r="N68" s="32" t="inlineStr">
        <is>
          <t>An attacker who learns a user_id (leaked on every public grievance payload — see F014) can overwrite that citizen's PIN and lock them out of their own app.</t>
        </is>
      </c>
      <c r="O68" s="32" t="inlineStr">
        <is>
          <t>Require the account's access token; reject a PIN change for any other account.</t>
        </is>
      </c>
      <c r="P68" s="31" t="n">
        <v>1</v>
      </c>
      <c r="Q68" s="29" t="inlineStr">
        <is>
          <t>Open</t>
        </is>
      </c>
      <c r="R68" s="29" t="inlineStr"/>
      <c r="S68" s="29" t="inlineStr"/>
      <c r="T68" s="32" t="inlineStr"/>
    </row>
    <row r="69" ht="78" customHeight="1">
      <c r="A69" s="28" t="inlineStr">
        <is>
          <t>F007</t>
        </is>
      </c>
      <c r="B69" s="29" t="inlineStr">
        <is>
          <t>E1</t>
        </is>
      </c>
      <c r="C69" s="29" t="inlineStr">
        <is>
          <t>S2</t>
        </is>
      </c>
      <c r="D69" s="33" t="inlineStr">
        <is>
          <t>High</t>
        </is>
      </c>
      <c r="E69" s="29" t="inlineStr">
        <is>
          <t>Possible</t>
        </is>
      </c>
      <c r="F69" s="31" t="n">
        <v>30</v>
      </c>
      <c r="G69" s="29" t="inlineStr">
        <is>
          <t>Security</t>
        </is>
      </c>
      <c r="H69" s="29" t="inlineStr">
        <is>
          <t>Backend</t>
        </is>
      </c>
      <c r="I69" s="29" t="inlineStr">
        <is>
          <t>Auth</t>
        </is>
      </c>
      <c r="J69" s="29" t="inlineStr">
        <is>
          <t>backend/routers/auth.py</t>
        </is>
      </c>
      <c r="K69" s="29" t="inlineStr">
        <is>
          <t>261-281</t>
        </is>
      </c>
      <c r="L69" s="32" t="inlineStr">
        <is>
          <t>verify-pin is an unauthenticated, unthrottled 4-digit oracle</t>
        </is>
      </c>
      <c r="M69" s="32" t="inlineStr">
        <is>
          <t>POST /api/auth/verify-pin compares a supplied hash against the stored one with no rate limit and no attempt counter.</t>
        </is>
      </c>
      <c r="N69" s="32" t="inlineStr">
        <is>
          <t>A 4-digit PIN is 10,000 combinations. An attacker with a user_id can exhaust the space in seconds against any of 100k accounts.</t>
        </is>
      </c>
      <c r="O69" s="32" t="inlineStr">
        <is>
          <t>Require a token, add exponential back-off and a lockout after 5 failures, and log attempts.</t>
        </is>
      </c>
      <c r="P69" s="31" t="n">
        <v>2</v>
      </c>
      <c r="Q69" s="29" t="inlineStr">
        <is>
          <t>Open</t>
        </is>
      </c>
      <c r="R69" s="29" t="inlineStr"/>
      <c r="S69" s="29" t="inlineStr"/>
      <c r="T69" s="32" t="inlineStr"/>
    </row>
    <row r="70" ht="78" customHeight="1">
      <c r="A70" s="28" t="inlineStr">
        <is>
          <t>F009</t>
        </is>
      </c>
      <c r="B70" s="29" t="inlineStr">
        <is>
          <t>E1</t>
        </is>
      </c>
      <c r="C70" s="29" t="inlineStr">
        <is>
          <t>S1</t>
        </is>
      </c>
      <c r="D70" s="33" t="inlineStr">
        <is>
          <t>High</t>
        </is>
      </c>
      <c r="E70" s="29" t="inlineStr">
        <is>
          <t>Possible</t>
        </is>
      </c>
      <c r="F70" s="31" t="n">
        <v>30</v>
      </c>
      <c r="G70" s="29" t="inlineStr">
        <is>
          <t>Security</t>
        </is>
      </c>
      <c r="H70" s="29" t="inlineStr">
        <is>
          <t>Backend</t>
        </is>
      </c>
      <c r="I70" s="29" t="inlineStr">
        <is>
          <t>Notifications</t>
        </is>
      </c>
      <c r="J70" s="29" t="inlineStr">
        <is>
          <t>backend/routers/notifications.py</t>
        </is>
      </c>
      <c r="K70" s="29" t="inlineStr">
        <is>
          <t>197-227</t>
        </is>
      </c>
      <c r="L70" s="32" t="inlineStr">
        <is>
          <t>Device-token registration is unauthenticated — push can be hijacked</t>
        </is>
      </c>
      <c r="M70" s="32" t="inlineStr">
        <is>
          <t>POST /api/notifications/register binds an arbitrary FCM token to an arbitrary recipient_id with no proof of identity.</t>
        </is>
      </c>
      <c r="N70" s="32" t="inlineStr">
        <is>
          <t>An attacker registers their own device against a citizen's account and receives that citizen's grievance notifications. Or registers thousands of junk tokens to inflate FCM cost.</t>
        </is>
      </c>
      <c r="O70" s="32" t="inlineStr">
        <is>
          <t>Authenticate the bind; only allow a device to register against the account currently signed in on it.</t>
        </is>
      </c>
      <c r="P70" s="31" t="n">
        <v>1</v>
      </c>
      <c r="Q70" s="29" t="inlineStr">
        <is>
          <t>Open</t>
        </is>
      </c>
      <c r="R70" s="29" t="inlineStr"/>
      <c r="S70" s="29" t="inlineStr"/>
      <c r="T70" s="32" t="inlineStr"/>
    </row>
    <row r="71" ht="78" customHeight="1">
      <c r="A71" s="28" t="inlineStr">
        <is>
          <t>F013</t>
        </is>
      </c>
      <c r="B71" s="29" t="inlineStr">
        <is>
          <t>E1</t>
        </is>
      </c>
      <c r="C71" s="29" t="inlineStr">
        <is>
          <t>S2</t>
        </is>
      </c>
      <c r="D71" s="33" t="inlineStr">
        <is>
          <t>High</t>
        </is>
      </c>
      <c r="E71" s="29" t="inlineStr">
        <is>
          <t>Possible</t>
        </is>
      </c>
      <c r="F71" s="31" t="n">
        <v>30</v>
      </c>
      <c r="G71" s="29" t="inlineStr">
        <is>
          <t>Security</t>
        </is>
      </c>
      <c r="H71" s="29" t="inlineStr">
        <is>
          <t>Backend</t>
        </is>
      </c>
      <c r="I71" s="29" t="inlineStr">
        <is>
          <t>Auth</t>
        </is>
      </c>
      <c r="J71" s="29" t="inlineStr">
        <is>
          <t>backend/routers/auth.py</t>
        </is>
      </c>
      <c r="K71" s="29" t="inlineStr">
        <is>
          <t>125-146</t>
        </is>
      </c>
      <c r="L71" s="32" t="inlineStr">
        <is>
          <t>OTP attempt counter resets on every new OTP request</t>
        </is>
      </c>
      <c r="M71" s="32" t="inlineStr">
        <is>
          <t>_verify_otp caps attempts at 5, but request_otp writes attempts = 0 on conflict, so an attacker alternates request/guess indefinitely.</t>
        </is>
      </c>
      <c r="N71" s="32" t="inlineStr">
        <is>
          <t>The 6-digit OTP space becomes brute-forceable against any target number, defeating the only citizen authentication factor.</t>
        </is>
      </c>
      <c r="O71" s="32" t="inlineStr">
        <is>
          <t>Track failures per phone over a rolling window independent of OTP issuance, and lock the number after N total failures.</t>
        </is>
      </c>
      <c r="P71" s="31" t="n">
        <v>1</v>
      </c>
      <c r="Q71" s="29" t="inlineStr">
        <is>
          <t>Open</t>
        </is>
      </c>
      <c r="R71" s="29" t="inlineStr"/>
      <c r="S71" s="29" t="inlineStr"/>
      <c r="T71" s="32" t="inlineStr"/>
    </row>
    <row r="72" ht="78" customHeight="1">
      <c r="A72" s="28" t="inlineStr">
        <is>
          <t>F017</t>
        </is>
      </c>
      <c r="B72" s="29" t="inlineStr">
        <is>
          <t>E1</t>
        </is>
      </c>
      <c r="C72" s="29" t="inlineStr">
        <is>
          <t>S8</t>
        </is>
      </c>
      <c r="D72" s="33" t="inlineStr">
        <is>
          <t>High</t>
        </is>
      </c>
      <c r="E72" s="29" t="inlineStr">
        <is>
          <t>Possible</t>
        </is>
      </c>
      <c r="F72" s="31" t="n">
        <v>30</v>
      </c>
      <c r="G72" s="29" t="inlineStr">
        <is>
          <t>Security</t>
        </is>
      </c>
      <c r="H72" s="29" t="inlineStr">
        <is>
          <t>Admin Dashboard</t>
        </is>
      </c>
      <c r="I72" s="29" t="inlineStr">
        <is>
          <t>Session</t>
        </is>
      </c>
      <c r="J72" s="29" t="inlineStr">
        <is>
          <t>frontend/lib/adminAuth.js</t>
        </is>
      </c>
      <c r="K72" s="29" t="inlineStr">
        <is>
          <t>16-26</t>
        </is>
      </c>
      <c r="L72" s="32" t="inlineStr">
        <is>
          <t>Admin token stored in localStorage</t>
        </is>
      </c>
      <c r="M72" s="32" t="inlineStr">
        <is>
          <t>The signed admin token is kept in localStorage and read into an X-Admin-Token header.</t>
        </is>
      </c>
      <c r="N72" s="32" t="inlineStr">
        <is>
          <t>Any cross-site scripting flaw in the console exfiltrates a token granting full administrative control over every constituency's data.</t>
        </is>
      </c>
      <c r="O72" s="32" t="inlineStr">
        <is>
          <t>Move to an httpOnly, Secure, SameSite=Strict cookie. Add a Content-Security-Policy to the console.</t>
        </is>
      </c>
      <c r="P72" s="31" t="n">
        <v>3</v>
      </c>
      <c r="Q72" s="29" t="inlineStr">
        <is>
          <t>Open</t>
        </is>
      </c>
      <c r="R72" s="29" t="inlineStr"/>
      <c r="S72" s="29" t="inlineStr"/>
      <c r="T72" s="32" t="inlineStr"/>
    </row>
    <row r="73" ht="78" customHeight="1">
      <c r="A73" s="28" t="inlineStr">
        <is>
          <t>F035</t>
        </is>
      </c>
      <c r="B73" s="29" t="inlineStr">
        <is>
          <t>E3</t>
        </is>
      </c>
      <c r="C73" s="29" t="inlineStr">
        <is>
          <t>S4</t>
        </is>
      </c>
      <c r="D73" s="33" t="inlineStr">
        <is>
          <t>High</t>
        </is>
      </c>
      <c r="E73" s="29" t="inlineStr">
        <is>
          <t>Possible</t>
        </is>
      </c>
      <c r="F73" s="31" t="n">
        <v>30</v>
      </c>
      <c r="G73" s="29" t="inlineStr">
        <is>
          <t>Security</t>
        </is>
      </c>
      <c r="H73" s="29" t="inlineStr">
        <is>
          <t>Backend</t>
        </is>
      </c>
      <c r="I73" s="29" t="inlineStr">
        <is>
          <t>Upload</t>
        </is>
      </c>
      <c r="J73" s="29" t="inlineStr">
        <is>
          <t>backend/utils.py</t>
        </is>
      </c>
      <c r="K73" s="29" t="inlineStr">
        <is>
          <t>85-90</t>
        </is>
      </c>
      <c r="L73" s="32" t="inlineStr">
        <is>
          <t>Stored filename extension is attacker-controlled and the directory is served statically</t>
        </is>
      </c>
      <c r="M73" s="32" t="inlineStr">
        <is>
          <t>ext comes from os.path.splitext(original_name); the file lands under /uploads which is mounted with StaticFiles.</t>
        </is>
      </c>
      <c r="N73" s="32" t="inlineStr">
        <is>
          <t>A citizen can upload content saved as .html or .svg and served from the application origin, giving stored cross-site scripting against the admin console operator who opens it.</t>
        </is>
      </c>
      <c r="O73" s="32" t="inlineStr">
        <is>
          <t>Whitelist extensions per kind and derive them from the sniffed content type. Serve user content from a separate origin with Content-Disposition: attachment.</t>
        </is>
      </c>
      <c r="P73" s="31" t="n">
        <v>2</v>
      </c>
      <c r="Q73" s="29" t="inlineStr">
        <is>
          <t>Open</t>
        </is>
      </c>
      <c r="R73" s="29" t="inlineStr"/>
      <c r="S73" s="29" t="inlineStr"/>
      <c r="T73" s="32" t="inlineStr"/>
    </row>
    <row r="74" ht="78" customHeight="1">
      <c r="A74" s="28" t="inlineStr">
        <is>
          <t>F040</t>
        </is>
      </c>
      <c r="B74" s="29" t="inlineStr">
        <is>
          <t>E3</t>
        </is>
      </c>
      <c r="C74" s="29" t="inlineStr">
        <is>
          <t>S4</t>
        </is>
      </c>
      <c r="D74" s="33" t="inlineStr">
        <is>
          <t>High</t>
        </is>
      </c>
      <c r="E74" s="29" t="inlineStr">
        <is>
          <t>Possible</t>
        </is>
      </c>
      <c r="F74" s="31" t="n">
        <v>30</v>
      </c>
      <c r="G74" s="29" t="inlineStr">
        <is>
          <t>Security</t>
        </is>
      </c>
      <c r="H74" s="29" t="inlineStr">
        <is>
          <t>Backend</t>
        </is>
      </c>
      <c r="I74" s="29" t="inlineStr">
        <is>
          <t>Service Hub</t>
        </is>
      </c>
      <c r="J74" s="29" t="inlineStr">
        <is>
          <t>backend/routers/servicehub.py</t>
        </is>
      </c>
      <c r="K74" s="29" t="inlineStr">
        <is>
          <t>78-97</t>
        </is>
      </c>
      <c r="L74" s="32" t="inlineStr">
        <is>
          <t>Client fully controls the assistant prompt — injection and jailbreak</t>
        </is>
      </c>
      <c r="M74" s="32" t="inlineStr">
        <is>
          <t>_build_prompt interpolates the client-supplied portal name, tagline, url and description, plus a client-supplied conversation history containing fabricated 'assistant' turns.</t>
        </is>
      </c>
      <c r="N74" s="32" t="inlineStr">
        <is>
          <t>A caller can make the official Tamil Nadu government assistant produce any output, then screenshot it. Reputational and political risk for 100 MLA offices.</t>
        </is>
      </c>
      <c r="O74" s="32" t="inlineStr">
        <is>
          <t>Build the portal context server-side from a trusted catalogue keyed by an id. Keep history server-side or signed. Use the SDK's system-instruction field rather than string concatenation.</t>
        </is>
      </c>
      <c r="P74" s="31" t="n">
        <v>3</v>
      </c>
      <c r="Q74" s="29" t="inlineStr">
        <is>
          <t>Open</t>
        </is>
      </c>
      <c r="R74" s="29" t="inlineStr"/>
      <c r="S74" s="29" t="inlineStr"/>
      <c r="T74" s="32" t="inlineStr"/>
    </row>
    <row r="75" ht="78" customHeight="1">
      <c r="A75" s="28" t="inlineStr">
        <is>
          <t>F060</t>
        </is>
      </c>
      <c r="B75" s="29" t="inlineStr">
        <is>
          <t>E6</t>
        </is>
      </c>
      <c r="C75" s="29" t="inlineStr">
        <is>
          <t>S7</t>
        </is>
      </c>
      <c r="D75" s="33" t="inlineStr">
        <is>
          <t>High</t>
        </is>
      </c>
      <c r="E75" s="29" t="inlineStr">
        <is>
          <t>Possible</t>
        </is>
      </c>
      <c r="F75" s="31" t="n">
        <v>30</v>
      </c>
      <c r="G75" s="29" t="inlineStr">
        <is>
          <t>Security</t>
        </is>
      </c>
      <c r="H75" s="29" t="inlineStr">
        <is>
          <t>Mobile</t>
        </is>
      </c>
      <c r="I75" s="29" t="inlineStr">
        <is>
          <t>Storage</t>
        </is>
      </c>
      <c r="J75" s="29" t="inlineStr">
        <is>
          <t>mobile/lib/data/prefs.dart</t>
        </is>
      </c>
      <c r="K75" s="29" t="inlineStr">
        <is>
          <t>13-90</t>
        </is>
      </c>
      <c r="L75" s="32" t="inlineStr">
        <is>
          <t>Citizen PII and the coordinator session are stored in plaintext SharedPreferences</t>
        </is>
      </c>
      <c r="M75" s="32" t="inlineStr">
        <is>
          <t>Name, phone, account id, PIN hash and the full coordinator profile are written to unencrypted SharedPreferences.</t>
        </is>
      </c>
      <c r="N75" s="32" t="inlineStr">
        <is>
          <t>On a rooted or backed-up device these are readable by any app or anyone with the handset. For coordinator accounts it discloses an active staff session.</t>
        </is>
      </c>
      <c r="O75" s="32" t="inlineStr">
        <is>
          <t>Use flutter_secure_storage (Keystore/Keychain) for the session and any PII; keep only non-sensitive UI preferences in SharedPreferences.</t>
        </is>
      </c>
      <c r="P75" s="31" t="n">
        <v>3</v>
      </c>
      <c r="Q75" s="29" t="inlineStr">
        <is>
          <t>Open</t>
        </is>
      </c>
      <c r="R75" s="29" t="inlineStr"/>
      <c r="S75" s="29" t="inlineStr"/>
      <c r="T75" s="32" t="inlineStr"/>
    </row>
    <row r="76" ht="78" customHeight="1">
      <c r="A76" s="28" t="inlineStr">
        <is>
          <t>F022</t>
        </is>
      </c>
      <c r="B76" s="29" t="inlineStr">
        <is>
          <t>E2</t>
        </is>
      </c>
      <c r="C76" s="29" t="inlineStr">
        <is>
          <t>S3</t>
        </is>
      </c>
      <c r="D76" s="34" t="inlineStr">
        <is>
          <t>Medium</t>
        </is>
      </c>
      <c r="E76" s="29" t="inlineStr">
        <is>
          <t>Certain</t>
        </is>
      </c>
      <c r="F76" s="31" t="n">
        <v>30</v>
      </c>
      <c r="G76" s="29" t="inlineStr">
        <is>
          <t>Scalability</t>
        </is>
      </c>
      <c r="H76" s="29" t="inlineStr">
        <is>
          <t>Database</t>
        </is>
      </c>
      <c r="I76" s="29" t="inlineStr">
        <is>
          <t>Retention</t>
        </is>
      </c>
      <c r="J76" s="29" t="inlineStr">
        <is>
          <t>backend/database.py</t>
        </is>
      </c>
      <c r="K76" s="29" t="inlineStr">
        <is>
          <t>126-138</t>
        </is>
      </c>
      <c r="L76" s="32" t="inlineStr">
        <is>
          <t>notifications and issue_events grow without bound</t>
        </is>
      </c>
      <c r="M76" s="32" t="inlineStr">
        <is>
          <t>Neither table has a retention policy, archival job or partitioning.</t>
        </is>
      </c>
      <c r="N76" s="32" t="inlineStr">
        <is>
          <t>With 100k citizens generating several notifications per grievance and an event per action, these become the largest tables in the system within months and slow every poll.</t>
        </is>
      </c>
      <c r="O76" s="32" t="inlineStr">
        <is>
          <t>Define retention (e.g. notifications 90 days, events retained but partitioned by month), and add an archival job.</t>
        </is>
      </c>
      <c r="P76" s="31" t="n">
        <v>3</v>
      </c>
      <c r="Q76" s="29" t="inlineStr">
        <is>
          <t>Open</t>
        </is>
      </c>
      <c r="R76" s="29" t="inlineStr"/>
      <c r="S76" s="29" t="inlineStr"/>
      <c r="T76" s="32" t="inlineStr"/>
    </row>
    <row r="77" ht="78" customHeight="1">
      <c r="A77" s="28" t="inlineStr">
        <is>
          <t>F041</t>
        </is>
      </c>
      <c r="B77" s="29" t="inlineStr">
        <is>
          <t>E3</t>
        </is>
      </c>
      <c r="C77" s="29" t="inlineStr">
        <is>
          <t>S4</t>
        </is>
      </c>
      <c r="D77" s="34" t="inlineStr">
        <is>
          <t>Medium</t>
        </is>
      </c>
      <c r="E77" s="29" t="inlineStr">
        <is>
          <t>Certain</t>
        </is>
      </c>
      <c r="F77" s="31" t="n">
        <v>30</v>
      </c>
      <c r="G77" s="29" t="inlineStr">
        <is>
          <t>Performance</t>
        </is>
      </c>
      <c r="H77" s="29" t="inlineStr">
        <is>
          <t>Backend</t>
        </is>
      </c>
      <c r="I77" s="29" t="inlineStr">
        <is>
          <t>Gemini</t>
        </is>
      </c>
      <c r="J77" s="29" t="inlineStr">
        <is>
          <t>backend/gemini_service.py</t>
        </is>
      </c>
      <c r="K77" s="29" t="inlineStr">
        <is>
          <t>116-118</t>
        </is>
      </c>
      <c r="L77" s="32" t="inlineStr">
        <is>
          <t>A new Gemini client is constructed on every model call</t>
        </is>
      </c>
      <c r="M77" s="32" t="inlineStr">
        <is>
          <t>_generate() does genai.Client(api_key=...) inside the request path, for every transcription, duplicate check and routing call.</t>
        </is>
      </c>
      <c r="N77" s="32" t="inlineStr">
        <is>
          <t>Repeated client construction and TLS setup adds latency and resource churn on the hottest AI path.</t>
        </is>
      </c>
      <c r="O77" s="32" t="inlineStr">
        <is>
          <t>Build one module-level client and reuse it. Set explicit timeouts.</t>
        </is>
      </c>
      <c r="P77" s="31" t="n">
        <v>1</v>
      </c>
      <c r="Q77" s="29" t="inlineStr">
        <is>
          <t>Open</t>
        </is>
      </c>
      <c r="R77" s="29" t="inlineStr"/>
      <c r="S77" s="29" t="inlineStr"/>
      <c r="T77" s="32" t="inlineStr"/>
    </row>
    <row r="78" ht="78" customHeight="1">
      <c r="A78" s="28" t="inlineStr">
        <is>
          <t>F068</t>
        </is>
      </c>
      <c r="B78" s="29" t="inlineStr">
        <is>
          <t>E8</t>
        </is>
      </c>
      <c r="C78" s="29" t="inlineStr">
        <is>
          <t>S7</t>
        </is>
      </c>
      <c r="D78" s="34" t="inlineStr">
        <is>
          <t>Medium</t>
        </is>
      </c>
      <c r="E78" s="29" t="inlineStr">
        <is>
          <t>Certain</t>
        </is>
      </c>
      <c r="F78" s="31" t="n">
        <v>30</v>
      </c>
      <c r="G78" s="29" t="inlineStr">
        <is>
          <t>Performance</t>
        </is>
      </c>
      <c r="H78" s="29" t="inlineStr">
        <is>
          <t>Mobile</t>
        </is>
      </c>
      <c r="I78" s="29" t="inlineStr">
        <is>
          <t>Startup</t>
        </is>
      </c>
      <c r="J78" s="29" t="inlineStr">
        <is>
          <t>mobile/lib/main.dart</t>
        </is>
      </c>
      <c r="K78" s="29" t="inlineStr">
        <is>
          <t>28-33</t>
        </is>
      </c>
      <c r="L78" s="32" t="inlineStr">
        <is>
          <t>Firebase initialisation is awaited before the first frame</t>
        </is>
      </c>
      <c r="M78" s="32" t="inlineStr">
        <is>
          <t>await PushService.instance.init() runs before runApp().</t>
        </is>
      </c>
      <c r="N78" s="32" t="inlineStr">
        <is>
          <t>On a slow or offline device the splash is delayed by Firebase setup and token retrieval. Cold-start time is a primary retention factor for a mass-market civic app.</t>
        </is>
      </c>
      <c r="O78" s="32" t="inlineStr">
        <is>
          <t>Run initialisation after runApp() as a background task and bind the token when it arrives.</t>
        </is>
      </c>
      <c r="P78" s="31" t="n">
        <v>1</v>
      </c>
      <c r="Q78" s="29" t="inlineStr">
        <is>
          <t>Open</t>
        </is>
      </c>
      <c r="R78" s="29" t="inlineStr"/>
      <c r="S78" s="29" t="inlineStr"/>
      <c r="T78" s="32" t="inlineStr"/>
    </row>
    <row r="79" ht="78" customHeight="1">
      <c r="A79" s="28" t="inlineStr">
        <is>
          <t>F078</t>
        </is>
      </c>
      <c r="B79" s="29" t="inlineStr">
        <is>
          <t>E9</t>
        </is>
      </c>
      <c r="C79" s="29" t="inlineStr">
        <is>
          <t>S8</t>
        </is>
      </c>
      <c r="D79" s="34" t="inlineStr">
        <is>
          <t>Medium</t>
        </is>
      </c>
      <c r="E79" s="29" t="inlineStr">
        <is>
          <t>Certain</t>
        </is>
      </c>
      <c r="F79" s="31" t="n">
        <v>30</v>
      </c>
      <c r="G79" s="29" t="inlineStr">
        <is>
          <t>Reliability</t>
        </is>
      </c>
      <c r="H79" s="29" t="inlineStr">
        <is>
          <t>Admin Dashboard</t>
        </is>
      </c>
      <c r="I79" s="29" t="inlineStr">
        <is>
          <t>Realtime</t>
        </is>
      </c>
      <c r="J79" s="29" t="inlineStr">
        <is>
          <t>frontend/components/admin/AdminDataProvider.js</t>
        </is>
      </c>
      <c r="K79" s="29" t="inlineStr">
        <is>
          <t>24-37</t>
        </is>
      </c>
      <c r="L79" s="32" t="inlineStr">
        <is>
          <t>The console has no live updates — only a manual reload after a mutation</t>
        </is>
      </c>
      <c r="M79" s="32" t="inlineStr">
        <is>
          <t>reload() refetches everything after each action. There is no subscription or incremental update.</t>
        </is>
      </c>
      <c r="N79" s="32" t="inlineStr">
        <is>
          <t>Operators in a busy office work from stale data, and each refresh repeats the full-table download.</t>
        </is>
      </c>
      <c r="O79" s="32" t="inlineStr">
        <is>
          <t>Incremental updates over server-sent events or websockets, with optimistic local mutation.</t>
        </is>
      </c>
      <c r="P79" s="31" t="n">
        <v>4</v>
      </c>
      <c r="Q79" s="29" t="inlineStr">
        <is>
          <t>Open</t>
        </is>
      </c>
      <c r="R79" s="29" t="inlineStr"/>
      <c r="S79" s="29" t="inlineStr"/>
      <c r="T79" s="32" t="inlineStr"/>
    </row>
    <row r="80" ht="78" customHeight="1">
      <c r="A80" s="28" t="inlineStr">
        <is>
          <t>F085</t>
        </is>
      </c>
      <c r="B80" s="29" t="inlineStr">
        <is>
          <t>E10</t>
        </is>
      </c>
      <c r="C80" s="29" t="inlineStr">
        <is>
          <t>S10</t>
        </is>
      </c>
      <c r="D80" s="34" t="inlineStr">
        <is>
          <t>Medium</t>
        </is>
      </c>
      <c r="E80" s="29" t="inlineStr">
        <is>
          <t>Certain</t>
        </is>
      </c>
      <c r="F80" s="31" t="n">
        <v>30</v>
      </c>
      <c r="G80" s="29" t="inlineStr">
        <is>
          <t>Security</t>
        </is>
      </c>
      <c r="H80" s="29" t="inlineStr">
        <is>
          <t>Operations</t>
        </is>
      </c>
      <c r="I80" s="29" t="inlineStr">
        <is>
          <t>Secrets</t>
        </is>
      </c>
      <c r="J80" s="29" t="inlineStr">
        <is>
          <t>backend/main.py</t>
        </is>
      </c>
      <c r="K80" s="29" t="inlineStr">
        <is>
          <t>251-258</t>
        </is>
      </c>
      <c r="L80" s="32" t="inlineStr">
        <is>
          <t>Configuration state is exposed on an unauthenticated root endpoint</t>
        </is>
      </c>
      <c r="M80" s="32" t="inlineStr">
        <is>
          <t>GET / reports gemini_configured. GET /api/notifications/push-status reports whether the FCM service account is set and how many devices are registered.</t>
        </is>
      </c>
      <c r="N80" s="32" t="inlineStr">
        <is>
          <t>Tells an attacker which integrations are live and how large the deployment is — useful reconnaissance for targeting the fallback paths described in F011.</t>
        </is>
      </c>
      <c r="O80" s="32" t="inlineStr">
        <is>
          <t>Keep the health endpoint to a bare liveness answer and move diagnostics behind admin auth.</t>
        </is>
      </c>
      <c r="P80" s="31" t="n">
        <v>1</v>
      </c>
      <c r="Q80" s="29" t="inlineStr">
        <is>
          <t>Open</t>
        </is>
      </c>
      <c r="R80" s="29" t="inlineStr"/>
      <c r="S80" s="29" t="inlineStr"/>
      <c r="T80" s="32" t="inlineStr"/>
    </row>
    <row r="81" ht="78" customHeight="1">
      <c r="A81" s="28" t="inlineStr">
        <is>
          <t>F087</t>
        </is>
      </c>
      <c r="B81" s="29" t="inlineStr">
        <is>
          <t>E10</t>
        </is>
      </c>
      <c r="C81" s="29" t="inlineStr">
        <is>
          <t>S1</t>
        </is>
      </c>
      <c r="D81" s="34" t="inlineStr">
        <is>
          <t>Medium</t>
        </is>
      </c>
      <c r="E81" s="29" t="inlineStr">
        <is>
          <t>Certain</t>
        </is>
      </c>
      <c r="F81" s="31" t="n">
        <v>30</v>
      </c>
      <c r="G81" s="29" t="inlineStr">
        <is>
          <t>Maintainability</t>
        </is>
      </c>
      <c r="H81" s="29" t="inlineStr">
        <is>
          <t>Operations</t>
        </is>
      </c>
      <c r="I81" s="29" t="inlineStr">
        <is>
          <t>Documentation</t>
        </is>
      </c>
      <c r="J81" s="29" t="inlineStr">
        <is>
          <t>README.md</t>
        </is>
      </c>
      <c r="K81" s="29" t="inlineStr">
        <is>
          <t>1-137</t>
        </is>
      </c>
      <c r="L81" s="32" t="inlineStr">
        <is>
          <t>The root README documents a different, older system</t>
        </is>
      </c>
      <c r="M81" s="32" t="inlineStr">
        <is>
          <t>It describes the main-branch 'FixMyStreet India' proof of concept: four routes, three tables, a 50-metre duplicate radius. The branch actually has roughly 50 endpoints, 11 tables and a 100-metre radius. mobile/README.md references a deleted lib/features/story/ directory and claims any 6-digit OTP verifies, which is no longer true.</t>
        </is>
      </c>
      <c r="N81" s="32" t="inlineStr">
        <is>
          <t>New engineers onboarding onto a 100-office programme will be misled about the security model on their first day.</t>
        </is>
      </c>
      <c r="O81" s="32" t="inlineStr">
        <is>
          <t>Rewrite both READMEs against the current architecture, and add an accurate API reference.</t>
        </is>
      </c>
      <c r="P81" s="31" t="n">
        <v>2</v>
      </c>
      <c r="Q81" s="29" t="inlineStr">
        <is>
          <t>Open</t>
        </is>
      </c>
      <c r="R81" s="29" t="inlineStr"/>
      <c r="S81" s="29" t="inlineStr"/>
      <c r="T81" s="32" t="inlineStr"/>
    </row>
    <row r="82" ht="78" customHeight="1">
      <c r="A82" s="28" t="inlineStr">
        <is>
          <t>F070</t>
        </is>
      </c>
      <c r="B82" s="29" t="inlineStr">
        <is>
          <t>E8</t>
        </is>
      </c>
      <c r="C82" s="29" t="inlineStr">
        <is>
          <t>S7</t>
        </is>
      </c>
      <c r="D82" s="34" t="inlineStr">
        <is>
          <t>Medium</t>
        </is>
      </c>
      <c r="E82" s="29" t="inlineStr">
        <is>
          <t>Likely</t>
        </is>
      </c>
      <c r="F82" s="31" t="n">
        <v>24</v>
      </c>
      <c r="G82" s="29" t="inlineStr">
        <is>
          <t>Reliability</t>
        </is>
      </c>
      <c r="H82" s="29" t="inlineStr">
        <is>
          <t>Mobile</t>
        </is>
      </c>
      <c r="I82" s="29" t="inlineStr">
        <is>
          <t>Uploads</t>
        </is>
      </c>
      <c r="J82" s="29" t="inlineStr">
        <is>
          <t>mobile/lib/features/report/report_sheet.dart</t>
        </is>
      </c>
      <c r="K82" s="29" t="inlineStr">
        <is>
          <t>398-404</t>
        </is>
      </c>
      <c r="L82" s="32" t="inlineStr">
        <is>
          <t>Attached petition documents have no size or type limit</t>
        </is>
      </c>
      <c r="M82" s="32" t="inlineStr">
        <is>
          <t>FilePicker.platform.pickFiles() result is uploaded as-is. Photos are compressed (maxWidth 1600, quality 85) but documents are not checked at all.</t>
        </is>
      </c>
      <c r="N82" s="32" t="inlineStr">
        <is>
          <t>A citizen can attach an arbitrarily large file, filling the server volume and failing slowly on a mobile connection.</t>
        </is>
      </c>
      <c r="O82" s="32" t="inlineStr">
        <is>
          <t>Enforce an extension allowlist and a size cap client-side with a clear message, matched by the server-side limit.</t>
        </is>
      </c>
      <c r="P82" s="31" t="n">
        <v>1</v>
      </c>
      <c r="Q82" s="29" t="inlineStr">
        <is>
          <t>Open</t>
        </is>
      </c>
      <c r="R82" s="29" t="inlineStr"/>
      <c r="S82" s="29" t="inlineStr"/>
      <c r="T82" s="32" t="inlineStr"/>
    </row>
    <row r="83" ht="78" customHeight="1">
      <c r="A83" s="28" t="inlineStr">
        <is>
          <t>F050</t>
        </is>
      </c>
      <c r="B83" s="29" t="inlineStr">
        <is>
          <t>E4</t>
        </is>
      </c>
      <c r="C83" s="29" t="inlineStr">
        <is>
          <t>S5</t>
        </is>
      </c>
      <c r="D83" s="34" t="inlineStr">
        <is>
          <t>Medium</t>
        </is>
      </c>
      <c r="E83" s="29" t="inlineStr">
        <is>
          <t>Possible</t>
        </is>
      </c>
      <c r="F83" s="31" t="n">
        <v>15</v>
      </c>
      <c r="G83" s="29" t="inlineStr">
        <is>
          <t>Security</t>
        </is>
      </c>
      <c r="H83" s="29" t="inlineStr">
        <is>
          <t>Backend</t>
        </is>
      </c>
      <c r="I83" s="29" t="inlineStr">
        <is>
          <t>Notifications</t>
        </is>
      </c>
      <c r="J83" s="29" t="inlineStr">
        <is>
          <t>backend/routers/notifications.py</t>
        </is>
      </c>
      <c r="K83" s="29" t="inlineStr">
        <is>
          <t>168-194</t>
        </is>
      </c>
      <c r="L83" s="32" t="inlineStr">
        <is>
          <t>push-status is unauthenticated and mints an OAuth token on each call</t>
        </is>
      </c>
      <c r="M83" s="32" t="inlineStr">
        <is>
          <t>The diagnostic endpoint calls push._access_token() and returns total registered device counts to any caller.</t>
        </is>
      </c>
      <c r="N83" s="32" t="inlineStr">
        <is>
          <t>Leaks system scale, and gives anyone a free way to hammer Google's token endpoint through the service account.</t>
        </is>
      </c>
      <c r="O83" s="32" t="inlineStr">
        <is>
          <t>Put it behind admin auth and cache the token check.</t>
        </is>
      </c>
      <c r="P83" s="31" t="n">
        <v>1</v>
      </c>
      <c r="Q83" s="29" t="inlineStr">
        <is>
          <t>Open</t>
        </is>
      </c>
      <c r="R83" s="29" t="inlineStr"/>
      <c r="S83" s="29" t="inlineStr"/>
      <c r="T83" s="32" t="inlineStr"/>
    </row>
    <row r="84" ht="78" customHeight="1">
      <c r="A84" s="28" t="inlineStr">
        <is>
          <t>F061</t>
        </is>
      </c>
      <c r="B84" s="29" t="inlineStr">
        <is>
          <t>E6</t>
        </is>
      </c>
      <c r="C84" s="29" t="inlineStr">
        <is>
          <t>S7</t>
        </is>
      </c>
      <c r="D84" s="34" t="inlineStr">
        <is>
          <t>Medium</t>
        </is>
      </c>
      <c r="E84" s="29" t="inlineStr">
        <is>
          <t>Possible</t>
        </is>
      </c>
      <c r="F84" s="31" t="n">
        <v>15</v>
      </c>
      <c r="G84" s="29" t="inlineStr">
        <is>
          <t>Correctness</t>
        </is>
      </c>
      <c r="H84" s="29" t="inlineStr">
        <is>
          <t>Mobile</t>
        </is>
      </c>
      <c r="I84" s="29" t="inlineStr">
        <is>
          <t>Session</t>
        </is>
      </c>
      <c r="J84" s="29" t="inlineStr">
        <is>
          <t>mobile/lib/data/prefs.dart</t>
        </is>
      </c>
      <c r="K84" s="29" t="inlineStr">
        <is>
          <t>68-71</t>
        </is>
      </c>
      <c r="L84" s="32" t="inlineStr">
        <is>
          <t>Sign-out does not clear the stored account id</t>
        </is>
      </c>
      <c r="M84" s="32" t="inlineStr">
        <is>
          <t>clearSession() removes the PIN hash and sets authed=false but leaves nk_account_id in place, so userId still returns the previous account's id.</t>
        </is>
      </c>
      <c r="N84" s="32" t="inlineStr">
        <is>
          <t>On a shared handset, actions taken before the next sign-in can be attributed to the previous citizen.</t>
        </is>
      </c>
      <c r="O84" s="32" t="inlineStr">
        <is>
          <t>Clear the account id and every derived cache on sign-out.</t>
        </is>
      </c>
      <c r="P84" s="31" t="n">
        <v>1</v>
      </c>
      <c r="Q84" s="29" t="inlineStr">
        <is>
          <t>Open</t>
        </is>
      </c>
      <c r="R84" s="29" t="inlineStr"/>
      <c r="S84" s="29" t="inlineStr"/>
      <c r="T84" s="32" t="inlineStr"/>
    </row>
    <row r="85" ht="78" customHeight="1">
      <c r="A85" s="28" t="inlineStr">
        <is>
          <t>F062</t>
        </is>
      </c>
      <c r="B85" s="29" t="inlineStr">
        <is>
          <t>E6</t>
        </is>
      </c>
      <c r="C85" s="29" t="inlineStr">
        <is>
          <t>S7</t>
        </is>
      </c>
      <c r="D85" s="34" t="inlineStr">
        <is>
          <t>Medium</t>
        </is>
      </c>
      <c r="E85" s="29" t="inlineStr">
        <is>
          <t>Possible</t>
        </is>
      </c>
      <c r="F85" s="31" t="n">
        <v>15</v>
      </c>
      <c r="G85" s="29" t="inlineStr">
        <is>
          <t>Security</t>
        </is>
      </c>
      <c r="H85" s="29" t="inlineStr">
        <is>
          <t>Mobile</t>
        </is>
      </c>
      <c r="I85" s="29" t="inlineStr">
        <is>
          <t>Crypto</t>
        </is>
      </c>
      <c r="J85" s="29" t="inlineStr">
        <is>
          <t>mobile/lib/features/login/pin_screens.dart</t>
        </is>
      </c>
      <c r="K85" s="29" t="inlineStr">
        <is>
          <t>17-20</t>
        </is>
      </c>
      <c r="L85" s="32" t="inlineStr">
        <is>
          <t>PIN hashed with a single unsalted SHA-256 pass</t>
        </is>
      </c>
      <c r="M85" s="32" t="inlineStr">
        <is>
          <t>The digest is sha256('userId:pin'). A 4-digit PIN is 10,000 candidates and the user id is known from the record itself.</t>
        </is>
      </c>
      <c r="N85" s="32" t="inlineStr">
        <is>
          <t>A database disclosure lets every citizen PIN be recovered instantly. There is also no lockout: _attempts is in memory and resets on restart.</t>
        </is>
      </c>
      <c r="O85" s="32" t="inlineStr">
        <is>
          <t>Use a slow KDF (Argon2id or PBKDF2 with a high iteration count) with a per-account random salt, and add a persistent lockout.</t>
        </is>
      </c>
      <c r="P85" s="31" t="n">
        <v>2</v>
      </c>
      <c r="Q85" s="29" t="inlineStr">
        <is>
          <t>Open</t>
        </is>
      </c>
      <c r="R85" s="29" t="inlineStr"/>
      <c r="S85" s="29" t="inlineStr"/>
      <c r="T85" s="32" t="inlineStr"/>
    </row>
    <row r="86" ht="78" customHeight="1">
      <c r="A86" s="28" t="inlineStr">
        <is>
          <t>F043</t>
        </is>
      </c>
      <c r="B86" s="29" t="inlineStr">
        <is>
          <t>E3</t>
        </is>
      </c>
      <c r="C86" s="29" t="inlineStr">
        <is>
          <t>S4</t>
        </is>
      </c>
      <c r="D86" s="34" t="inlineStr">
        <is>
          <t>Medium</t>
        </is>
      </c>
      <c r="E86" s="29" t="inlineStr">
        <is>
          <t>Unlikely</t>
        </is>
      </c>
      <c r="F86" s="31" t="n">
        <v>7.5</v>
      </c>
      <c r="G86" s="29" t="inlineStr">
        <is>
          <t>Security</t>
        </is>
      </c>
      <c r="H86" s="29" t="inlineStr">
        <is>
          <t>Backend</t>
        </is>
      </c>
      <c r="I86" s="29" t="inlineStr">
        <is>
          <t>Admin API</t>
        </is>
      </c>
      <c r="J86" s="29" t="inlineStr">
        <is>
          <t>backend/routers/admin.py</t>
        </is>
      </c>
      <c r="K86" s="29" t="inlineStr">
        <is>
          <t>429-477</t>
        </is>
      </c>
      <c r="L86" s="32" t="inlineStr">
        <is>
          <t>Document path is rebuilt from a stored value without containment checks</t>
        </is>
      </c>
      <c r="M86" s="32" t="inlineStr">
        <is>
          <t>The handler does document_url.replace('/uploads','',1) then os.path.join(UPLOAD_DIR, rel) and opens the result. There is no check that the resolved path stays inside UPLOAD_DIR.</t>
        </is>
      </c>
      <c r="N86" s="32" t="inlineStr">
        <is>
          <t>The value is server-generated today, so exploitation needs another write primitive — but the pattern is a directory traversal waiting for one, in a handler that reads arbitrary files.</t>
        </is>
      </c>
      <c r="O86" s="32" t="inlineStr">
        <is>
          <t>Resolve with os.path.realpath and assert the prefix, or key documents by id and look the path up rather than deriving it.</t>
        </is>
      </c>
      <c r="P86" s="31" t="n">
        <v>1</v>
      </c>
      <c r="Q86" s="29" t="inlineStr">
        <is>
          <t>Open</t>
        </is>
      </c>
      <c r="R86" s="29" t="inlineStr"/>
      <c r="S86" s="29" t="inlineStr"/>
      <c r="T86" s="32" t="inlineStr"/>
    </row>
    <row r="87" ht="78" customHeight="1">
      <c r="A87" s="28" t="inlineStr">
        <is>
          <t>F086</t>
        </is>
      </c>
      <c r="B87" s="29" t="inlineStr">
        <is>
          <t>E10</t>
        </is>
      </c>
      <c r="C87" s="29" t="inlineStr">
        <is>
          <t>S1</t>
        </is>
      </c>
      <c r="D87" s="35" t="inlineStr">
        <is>
          <t>Low</t>
        </is>
      </c>
      <c r="E87" s="29" t="inlineStr">
        <is>
          <t>Certain</t>
        </is>
      </c>
      <c r="F87" s="31" t="n">
        <v>10</v>
      </c>
      <c r="G87" s="29" t="inlineStr">
        <is>
          <t>Maintainability</t>
        </is>
      </c>
      <c r="H87" s="29" t="inlineStr">
        <is>
          <t>Operations</t>
        </is>
      </c>
      <c r="I87" s="29" t="inlineStr">
        <is>
          <t>Repo hygiene</t>
        </is>
      </c>
      <c r="J87" s="29" t="inlineStr">
        <is>
          <t>frontend/components/.VerifyModal.js.swp</t>
        </is>
      </c>
      <c r="K87" s="29" t="inlineStr">
        <is>
          <t>-</t>
        </is>
      </c>
      <c r="L87" s="32" t="inlineStr">
        <is>
          <t>Build artefacts and editor files are committed</t>
        </is>
      </c>
      <c r="M87" s="32" t="inlineStr">
        <is>
          <t>Tracked files include frontend/components/.VerifyModal.js.swp (a vim swap file) and mobile/android/build/reports/problems/problems-report.html (Gradle output). A brand asset filename contains a literal double-quote and Tamil characters.</t>
        </is>
      </c>
      <c r="N87" s="32" t="inlineStr">
        <is>
          <t>Repository noise, and the quoted filename is a portability hazard for Windows checkouts and CI.</t>
        </is>
      </c>
      <c r="O87" s="32" t="inlineStr">
        <is>
          <t>Remove the tracked artefacts, extend .gitignore, and rename the asset to an ASCII path.</t>
        </is>
      </c>
      <c r="P87" s="31" t="n">
        <v>1</v>
      </c>
      <c r="Q87" s="29" t="inlineStr">
        <is>
          <t>Open</t>
        </is>
      </c>
      <c r="R87" s="29" t="inlineStr"/>
      <c r="S87" s="29" t="inlineStr"/>
      <c r="T87" s="32" t="inlineStr"/>
    </row>
    <row r="88" ht="78" customHeight="1">
      <c r="A88" s="28" t="inlineStr">
        <is>
          <t>F025</t>
        </is>
      </c>
      <c r="B88" s="29" t="inlineStr">
        <is>
          <t>E2</t>
        </is>
      </c>
      <c r="C88" s="29" t="inlineStr">
        <is>
          <t>S4</t>
        </is>
      </c>
      <c r="D88" s="35" t="inlineStr">
        <is>
          <t>Low</t>
        </is>
      </c>
      <c r="E88" s="29" t="inlineStr">
        <is>
          <t>Likely</t>
        </is>
      </c>
      <c r="F88" s="31" t="n">
        <v>8</v>
      </c>
      <c r="G88" s="29" t="inlineStr">
        <is>
          <t>Correctness</t>
        </is>
      </c>
      <c r="H88" s="29" t="inlineStr">
        <is>
          <t>Database</t>
        </is>
      </c>
      <c r="I88" s="29" t="inlineStr">
        <is>
          <t>Concurrency</t>
        </is>
      </c>
      <c r="J88" s="29" t="inlineStr">
        <is>
          <t>backend/routers/issues.py</t>
        </is>
      </c>
      <c r="K88" s="29" t="inlineStr">
        <is>
          <t>215-232</t>
        </is>
      </c>
      <c r="L88" s="32" t="inlineStr">
        <is>
          <t>Upvote race returns a 500 instead of a 409</t>
        </is>
      </c>
      <c r="M88" s="32" t="inlineStr">
        <is>
          <t>The duplicate check is a SELECT followed by an INSERT. Concurrent requests both pass, and the second violates UNIQUE(user_id, issue_id), surfacing as an unhandled 500.</t>
        </is>
      </c>
      <c r="N88" s="32" t="inlineStr">
        <is>
          <t>Users see a generic failure on a double-tap. Noise in error monitoring masks real faults.</t>
        </is>
      </c>
      <c r="O88" s="32" t="inlineStr">
        <is>
          <t>Use INSERT ... ON CONFLICT DO NOTHING and branch on rowcount.</t>
        </is>
      </c>
      <c r="P88" s="31" t="n">
        <v>1</v>
      </c>
      <c r="Q88" s="29" t="inlineStr">
        <is>
          <t>Open</t>
        </is>
      </c>
      <c r="R88" s="29" t="inlineStr"/>
      <c r="S88" s="29" t="inlineStr"/>
      <c r="T88" s="32" t="inlineStr"/>
    </row>
    <row r="89" ht="78" customHeight="1">
      <c r="A89" s="28" t="inlineStr">
        <is>
          <t>F075</t>
        </is>
      </c>
      <c r="B89" s="29" t="inlineStr">
        <is>
          <t>E8</t>
        </is>
      </c>
      <c r="C89" s="29" t="inlineStr">
        <is>
          <t>S7</t>
        </is>
      </c>
      <c r="D89" s="35" t="inlineStr">
        <is>
          <t>Low</t>
        </is>
      </c>
      <c r="E89" s="29" t="inlineStr">
        <is>
          <t>Possible</t>
        </is>
      </c>
      <c r="F89" s="31" t="n">
        <v>5</v>
      </c>
      <c r="G89" s="29" t="inlineStr">
        <is>
          <t>Privacy</t>
        </is>
      </c>
      <c r="H89" s="29" t="inlineStr">
        <is>
          <t>Mobile</t>
        </is>
      </c>
      <c r="I89" s="29" t="inlineStr">
        <is>
          <t>Logging</t>
        </is>
      </c>
      <c r="J89" s="29" t="inlineStr">
        <is>
          <t>mobile/lib/data/push_service.dart</t>
        </is>
      </c>
      <c r="K89" s="29" t="inlineStr">
        <is>
          <t>73-76, 104-121</t>
        </is>
      </c>
      <c r="L89" s="32" t="inlineStr">
        <is>
          <t>Account identifiers and token fragments are written to device logs in release builds</t>
        </is>
      </c>
      <c r="M89" s="32" t="inlineStr">
        <is>
          <t>debugPrint is used to log the FCM token prefix and the recipient type and id. debugPrint is not stripped in release builds.</t>
        </is>
      </c>
      <c r="N89" s="32" t="inlineStr">
        <is>
          <t>Any app with log access on older Android versions, and anyone with the handset connected to adb, can read account identifiers.</t>
        </is>
      </c>
      <c r="O89" s="32" t="inlineStr">
        <is>
          <t>Route logging through a level-aware logger that is disabled in release, and never log identifiers.</t>
        </is>
      </c>
      <c r="P89" s="31" t="n">
        <v>1</v>
      </c>
      <c r="Q89" s="29" t="inlineStr">
        <is>
          <t>Open</t>
        </is>
      </c>
      <c r="R89" s="29" t="inlineStr"/>
      <c r="S89" s="29" t="inlineStr"/>
      <c r="T89" s="32" t="inlineStr"/>
    </row>
    <row r="90" ht="78" customHeight="1">
      <c r="A90" s="28" t="inlineStr">
        <is>
          <t>F044</t>
        </is>
      </c>
      <c r="B90" s="29" t="inlineStr">
        <is>
          <t>E3</t>
        </is>
      </c>
      <c r="C90" s="29" t="inlineStr">
        <is>
          <t>S4</t>
        </is>
      </c>
      <c r="D90" s="35" t="inlineStr">
        <is>
          <t>Low</t>
        </is>
      </c>
      <c r="E90" s="29" t="inlineStr">
        <is>
          <t>Unlikely</t>
        </is>
      </c>
      <c r="F90" s="31" t="n">
        <v>2.5</v>
      </c>
      <c r="G90" s="29" t="inlineStr">
        <is>
          <t>Security</t>
        </is>
      </c>
      <c r="H90" s="29" t="inlineStr">
        <is>
          <t>Backend</t>
        </is>
      </c>
      <c r="I90" s="29" t="inlineStr">
        <is>
          <t>Query</t>
        </is>
      </c>
      <c r="J90" s="29" t="inlineStr">
        <is>
          <t>backend/routers/coordinator.py</t>
        </is>
      </c>
      <c r="K90" s="29" t="inlineStr">
        <is>
          <t>100-128</t>
        </is>
      </c>
      <c r="L90" s="32" t="inlineStr">
        <is>
          <t>ORDER BY clause is string-interpolated into SQL</t>
        </is>
      </c>
      <c r="M90" s="32" t="inlineStr">
        <is>
          <t>The order expression is built with an f-string. It is currently derived from a safe ternary, so it is not exploitable as written.</t>
        </is>
      </c>
      <c r="N90" s="32" t="inlineStr">
        <is>
          <t>A latent SQL injection one careless edit away, in the endpoint that serves every coordinator's work queue.</t>
        </is>
      </c>
      <c r="O90" s="32" t="inlineStr">
        <is>
          <t>Map the sort parameter to a fixed allowlist of ORDER BY clauses and never interpolate.</t>
        </is>
      </c>
      <c r="P90" s="31" t="n">
        <v>1</v>
      </c>
      <c r="Q90" s="29" t="inlineStr">
        <is>
          <t>Open</t>
        </is>
      </c>
      <c r="R90" s="29" t="inlineStr"/>
      <c r="S90" s="29" t="inlineStr"/>
      <c r="T90" s="32" t="inlineStr"/>
    </row>
    <row r="91" ht="78" customHeight="1">
      <c r="A91" s="28" t="inlineStr">
        <is>
          <t>F073</t>
        </is>
      </c>
      <c r="B91" s="29" t="inlineStr">
        <is>
          <t>E8</t>
        </is>
      </c>
      <c r="C91" s="29" t="inlineStr">
        <is>
          <t>S4</t>
        </is>
      </c>
      <c r="D91" s="35" t="inlineStr">
        <is>
          <t>Low</t>
        </is>
      </c>
      <c r="E91" s="29" t="inlineStr">
        <is>
          <t>Unlikely</t>
        </is>
      </c>
      <c r="F91" s="31" t="n">
        <v>2.5</v>
      </c>
      <c r="G91" s="29" t="inlineStr">
        <is>
          <t>Correctness</t>
        </is>
      </c>
      <c r="H91" s="29" t="inlineStr">
        <is>
          <t>Mobile</t>
        </is>
      </c>
      <c r="I91" s="29" t="inlineStr">
        <is>
          <t>API client</t>
        </is>
      </c>
      <c r="J91" s="29" t="inlineStr">
        <is>
          <t>mobile/lib/data/dio_api_client.dart</t>
        </is>
      </c>
      <c r="K91" s="29" t="inlineStr">
        <is>
          <t>99-102</t>
        </is>
      </c>
      <c r="L91" s="32" t="inlineStr">
        <is>
          <t>Query string is built by interpolation without URL encoding</t>
        </is>
      </c>
      <c r="M91" s="32" t="inlineStr">
        <is>
          <t>fetchCoordinatorWardIssues concatenates the coordinator and sort values straight into the path.</t>
        </is>
      </c>
      <c r="N91" s="32" t="inlineStr">
        <is>
          <t>A username containing a reserved character produces a malformed request. Minor now because usernames are constrained, but it is a latent correctness bug.</t>
        </is>
      </c>
      <c r="O91" s="32" t="inlineStr">
        <is>
          <t>Pass values through queryParameters so Dio encodes them.</t>
        </is>
      </c>
      <c r="P91" s="31" t="n">
        <v>1</v>
      </c>
      <c r="Q91" s="29" t="inlineStr">
        <is>
          <t>Open</t>
        </is>
      </c>
      <c r="R91" s="29" t="inlineStr"/>
      <c r="S91" s="29" t="inlineStr"/>
      <c r="T91" s="32" t="inlineStr"/>
    </row>
  </sheetData>
  <autoFilter ref="A1:T91"/>
  <conditionalFormatting sqref="Q2:Q91">
    <cfRule type="cellIs" priority="1" operator="equal" dxfId="0">
      <formula>"Done"</formula>
    </cfRule>
    <cfRule type="cellIs" priority="2" operator="equal" dxfId="1">
      <formula>"Blocked"</formula>
    </cfRule>
    <cfRule type="cellIs" priority="3" operator="equal" dxfId="2">
      <formula>"In Progress"</formula>
    </cfRule>
    <cfRule type="cellIs" priority="4" operator="equal" dxfId="3">
      <formula>"In Review"</formula>
    </cfRule>
  </conditionalFormatting>
  <conditionalFormatting sqref="A2:T91">
    <cfRule type="expression" priority="5" dxfId="4">
      <formula>$Q2="Done"</formula>
    </cfRule>
  </conditionalFormatting>
  <dataValidations count="1">
    <dataValidation sqref="Q2:Q91" showDropDown="0" showInputMessage="0" showErrorMessage="0" allowBlank="0" type="list">
      <formula1>"Open,In Progress,Blocked,In Review,Done,Won't Fix"</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58" customWidth="1" min="3" max="3"/>
    <col width="86" customWidth="1" min="4" max="4"/>
    <col width="10" customWidth="1" min="5" max="5"/>
    <col width="10" customWidth="1" min="6" max="6"/>
    <col width="9" customWidth="1" min="7" max="7"/>
    <col width="14" customWidth="1" min="8" max="8"/>
    <col width="9" customWidth="1" min="9" max="9"/>
    <col width="12" customWidth="1" min="10" max="10"/>
  </cols>
  <sheetData>
    <row r="1" ht="30" customHeight="1">
      <c r="A1" s="27" t="inlineStr">
        <is>
          <t>Epic</t>
        </is>
      </c>
      <c r="B1" s="27" t="inlineStr">
        <is>
          <t>Name</t>
        </is>
      </c>
      <c r="C1" s="27" t="inlineStr">
        <is>
          <t>Goal</t>
        </is>
      </c>
      <c r="D1" s="27" t="inlineStr">
        <is>
          <t>Why this exists at this scale</t>
        </is>
      </c>
      <c r="E1" s="27" t="inlineStr">
        <is>
          <t>Findings</t>
        </is>
      </c>
      <c r="F1" s="27" t="inlineStr">
        <is>
          <t>Critical</t>
        </is>
      </c>
      <c r="G1" s="27" t="inlineStr">
        <is>
          <t>High</t>
        </is>
      </c>
      <c r="H1" s="27" t="inlineStr">
        <is>
          <t>Effort (days)</t>
        </is>
      </c>
      <c r="I1" s="27" t="inlineStr">
        <is>
          <t>Done</t>
        </is>
      </c>
      <c r="J1" s="27" t="inlineStr">
        <is>
          <t>% complete</t>
        </is>
      </c>
    </row>
    <row r="2" ht="62" customHeight="1">
      <c r="A2" s="28" t="inlineStr">
        <is>
          <t>E1</t>
        </is>
      </c>
      <c r="B2" s="29" t="inlineStr">
        <is>
          <t>Identity &amp; Access Control</t>
        </is>
      </c>
      <c r="C2" s="32" t="inlineStr">
        <is>
          <t>Every API call proves who is calling, and can only touch its own data.</t>
        </is>
      </c>
      <c r="D2" s="32" t="inlineStr">
        <is>
          <t>Today a caller asserts their identity as a plain form field. Nothing is verified. At 100k citizens and 100 MLA offices this is the difference between a working system and an open database.</t>
        </is>
      </c>
      <c r="E2" s="31" t="n">
        <v>16</v>
      </c>
      <c r="F2" s="36" t="n">
        <v>10</v>
      </c>
      <c r="G2" s="31" t="n">
        <v>6</v>
      </c>
      <c r="H2" s="31" t="n">
        <v>38</v>
      </c>
      <c r="I2" s="31">
        <f>COUNTIFS(Findings!$B$2:$B$91,$A2,Findings!$Q$2:$Q$91,"Done")</f>
        <v/>
      </c>
      <c r="J2" s="37">
        <f>IF($E2=0,0,$I2/$E2)</f>
        <v/>
      </c>
    </row>
    <row r="3" ht="62" customHeight="1">
      <c r="A3" s="28" t="inlineStr">
        <is>
          <t>E2</t>
        </is>
      </c>
      <c r="B3" s="29" t="inlineStr">
        <is>
          <t>Data Platform &amp; Persistence</t>
        </is>
      </c>
      <c r="C3" s="32" t="inlineStr">
        <is>
          <t>Move off single-file SQLite to a concurrent, indexed, backed-up datastore.</t>
        </is>
      </c>
      <c r="D3" s="32" t="inlineStr">
        <is>
          <t>One SQLite file on one Railway volume, with zero indexes on the issues table, cannot serve 100k citizens. Every list query is a full table scan today.</t>
        </is>
      </c>
      <c r="E3" s="31" t="n">
        <v>10</v>
      </c>
      <c r="F3" s="36" t="n">
        <v>3</v>
      </c>
      <c r="G3" s="31" t="n">
        <v>5</v>
      </c>
      <c r="H3" s="31" t="n">
        <v>36</v>
      </c>
      <c r="I3" s="31">
        <f>COUNTIFS(Findings!$B$2:$B$91,$A3,Findings!$Q$2:$Q$91,"Done")</f>
        <v/>
      </c>
      <c r="J3" s="37">
        <f>IF($E3=0,0,$I3/$E3)</f>
        <v/>
      </c>
    </row>
    <row r="4" ht="62" customHeight="1">
      <c r="A4" s="28" t="inlineStr">
        <is>
          <t>E3</t>
        </is>
      </c>
      <c r="B4" s="29" t="inlineStr">
        <is>
          <t>API Scalability &amp; Performance</t>
        </is>
      </c>
      <c r="C4" s="32" t="inlineStr">
        <is>
          <t>Pagination, indexed filters, non-blocking I/O and caching on every hot path.</t>
        </is>
      </c>
      <c r="D4" s="32" t="inlineStr">
        <is>
          <t>The dashboard loads the entire issues table into the browser; the map scans every row in Python; Gemini calls block the event loop.</t>
        </is>
      </c>
      <c r="E4" s="31" t="n">
        <v>19</v>
      </c>
      <c r="F4" s="36" t="n">
        <v>8</v>
      </c>
      <c r="G4" s="31" t="n">
        <v>8</v>
      </c>
      <c r="H4" s="31" t="n">
        <v>54</v>
      </c>
      <c r="I4" s="31">
        <f>COUNTIFS(Findings!$B$2:$B$91,$A4,Findings!$Q$2:$Q$91,"Done")</f>
        <v/>
      </c>
      <c r="J4" s="37">
        <f>IF($E4=0,0,$I4/$E4)</f>
        <v/>
      </c>
    </row>
    <row r="5" ht="62" customHeight="1">
      <c r="A5" s="28" t="inlineStr">
        <is>
          <t>E4</t>
        </is>
      </c>
      <c r="B5" s="29" t="inlineStr">
        <is>
          <t>Notification &amp; Realtime Delivery</t>
        </is>
      </c>
      <c r="C5" s="32" t="inlineStr">
        <is>
          <t>Replace 15/20-second client polling with push-first delivery.</t>
        </is>
      </c>
      <c r="D5" s="32" t="inlineStr">
        <is>
          <t>Two pollers per device at 100k devices is roughly 11,000 requests/second of pure overhead before a single citizen does anything.</t>
        </is>
      </c>
      <c r="E5" s="31" t="n">
        <v>6</v>
      </c>
      <c r="F5" s="36" t="n">
        <v>2</v>
      </c>
      <c r="G5" s="31" t="n">
        <v>3</v>
      </c>
      <c r="H5" s="31" t="n">
        <v>17</v>
      </c>
      <c r="I5" s="31">
        <f>COUNTIFS(Findings!$B$2:$B$91,$A5,Findings!$Q$2:$Q$91,"Done")</f>
        <v/>
      </c>
      <c r="J5" s="37">
        <f>IF($E5=0,0,$I5/$E5)</f>
        <v/>
      </c>
    </row>
    <row r="6" ht="62" customHeight="1">
      <c r="A6" s="28" t="inlineStr">
        <is>
          <t>E5</t>
        </is>
      </c>
      <c r="B6" s="29" t="inlineStr">
        <is>
          <t>Multi-Tenancy: 100 MLA Constituencies</t>
        </is>
      </c>
      <c r="C6" s="32" t="inlineStr">
        <is>
          <t>One deployment serving 100 constituencies, each seeing only its own data.</t>
        </is>
      </c>
      <c r="D6" s="32" t="inlineStr">
        <is>
          <t>The system is hardcoded to 16 Chennai ACs and Greater Chennai Corporation wards, with a single shared admin login.</t>
        </is>
      </c>
      <c r="E6" s="31" t="n">
        <v>7</v>
      </c>
      <c r="F6" s="36" t="n">
        <v>5</v>
      </c>
      <c r="G6" s="31" t="n">
        <v>2</v>
      </c>
      <c r="H6" s="31" t="n">
        <v>45</v>
      </c>
      <c r="I6" s="31">
        <f>COUNTIFS(Findings!$B$2:$B$91,$A6,Findings!$Q$2:$Q$91,"Done")</f>
        <v/>
      </c>
      <c r="J6" s="37">
        <f>IF($E6=0,0,$I6/$E6)</f>
        <v/>
      </c>
    </row>
    <row r="7" ht="62" customHeight="1">
      <c r="A7" s="28" t="inlineStr">
        <is>
          <t>E6</t>
        </is>
      </c>
      <c r="B7" s="29" t="inlineStr">
        <is>
          <t>Privacy, PII &amp; Compliance (DPDP Act 2023)</t>
        </is>
      </c>
      <c r="C7" s="32" t="inlineStr">
        <is>
          <t>Citizen personal data is never exposed beyond who needs it, and is retained lawfully.</t>
        </is>
      </c>
      <c r="D7" s="32" t="inlineStr">
        <is>
          <t>Reporter name, phone number and account id are returned on public unauthenticated endpoints today.</t>
        </is>
      </c>
      <c r="E7" s="31" t="n">
        <v>6</v>
      </c>
      <c r="F7" s="36" t="n">
        <v>2</v>
      </c>
      <c r="G7" s="31" t="n">
        <v>2</v>
      </c>
      <c r="H7" s="31" t="n">
        <v>18</v>
      </c>
      <c r="I7" s="31">
        <f>COUNTIFS(Findings!$B$2:$B$91,$A7,Findings!$Q$2:$Q$91,"Done")</f>
        <v/>
      </c>
      <c r="J7" s="37">
        <f>IF($E7=0,0,$I7/$E7)</f>
        <v/>
      </c>
    </row>
    <row r="8" ht="62" customHeight="1">
      <c r="A8" s="28" t="inlineStr">
        <is>
          <t>E7</t>
        </is>
      </c>
      <c r="B8" s="29" t="inlineStr">
        <is>
          <t>Third-Party Dependency &amp; Cost Control</t>
        </is>
      </c>
      <c r="C8" s="32" t="inlineStr">
        <is>
          <t>Every external dependency is licensed, rate-limited and budgeted for 100k users.</t>
        </is>
      </c>
      <c r="D8" s="32" t="inlineStr">
        <is>
          <t>OSM tiles, Nominatim geocoding and Gemini are all used in ways their terms forbid at this volume, with no cost ceiling.</t>
        </is>
      </c>
      <c r="E8" s="31" t="n">
        <v>4</v>
      </c>
      <c r="F8" s="36" t="n">
        <v>2</v>
      </c>
      <c r="G8" s="31" t="n">
        <v>2</v>
      </c>
      <c r="H8" s="31" t="n">
        <v>15</v>
      </c>
      <c r="I8" s="31">
        <f>COUNTIFS(Findings!$B$2:$B$91,$A8,Findings!$Q$2:$Q$91,"Done")</f>
        <v/>
      </c>
      <c r="J8" s="37">
        <f>IF($E8=0,0,$I8/$E8)</f>
        <v/>
      </c>
    </row>
    <row r="9" ht="62" customHeight="1">
      <c r="A9" s="28" t="inlineStr">
        <is>
          <t>E8</t>
        </is>
      </c>
      <c r="B9" s="29" t="inlineStr">
        <is>
          <t>Mobile App Production Readiness</t>
        </is>
      </c>
      <c r="C9" s="32" t="inlineStr">
        <is>
          <t>The Flutter app is observable, secure on-device, resilient offline and cheap on data.</t>
        </is>
      </c>
      <c r="D9" s="32" t="inlineStr">
        <is>
          <t>No crash reporting, plaintext local storage, no offline cache, uncapped uploads.</t>
        </is>
      </c>
      <c r="E9" s="31" t="n">
        <v>9</v>
      </c>
      <c r="F9" s="36" t="n">
        <v>1</v>
      </c>
      <c r="G9" s="31" t="n">
        <v>4</v>
      </c>
      <c r="H9" s="31" t="n">
        <v>21</v>
      </c>
      <c r="I9" s="31">
        <f>COUNTIFS(Findings!$B$2:$B$91,$A9,Findings!$Q$2:$Q$91,"Done")</f>
        <v/>
      </c>
      <c r="J9" s="37">
        <f>IF($E9=0,0,$I9/$E9)</f>
        <v/>
      </c>
    </row>
    <row r="10" ht="62" customHeight="1">
      <c r="A10" s="28" t="inlineStr">
        <is>
          <t>E9</t>
        </is>
      </c>
      <c r="B10" s="29" t="inlineStr">
        <is>
          <t>Admin Dashboard for Scale</t>
        </is>
      </c>
      <c r="C10" s="32" t="inlineStr">
        <is>
          <t>Server-side querying, real data, and per-office accountability in the console.</t>
        </is>
      </c>
      <c r="D10" s="32" t="inlineStr">
        <is>
          <t>The console is a demo: it loads everything client-side and renders mock social-media analytics about named real politicians.</t>
        </is>
      </c>
      <c r="E10" s="31" t="n">
        <v>5</v>
      </c>
      <c r="F10" s="36" t="n">
        <v>1</v>
      </c>
      <c r="G10" s="31" t="n">
        <v>3</v>
      </c>
      <c r="H10" s="31" t="n">
        <v>22</v>
      </c>
      <c r="I10" s="31">
        <f>COUNTIFS(Findings!$B$2:$B$91,$A10,Findings!$Q$2:$Q$91,"Done")</f>
        <v/>
      </c>
      <c r="J10" s="37">
        <f>IF($E10=0,0,$I10/$E10)</f>
        <v/>
      </c>
    </row>
    <row r="11" ht="62" customHeight="1">
      <c r="A11" s="28" t="inlineStr">
        <is>
          <t>E10</t>
        </is>
      </c>
      <c r="B11" s="29" t="inlineStr">
        <is>
          <t>Operations, Release &amp; Quality Engineering</t>
        </is>
      </c>
      <c r="C11" s="32" t="inlineStr">
        <is>
          <t>Backups, migrations, CI, load testing and a rollback path before go-live.</t>
        </is>
      </c>
      <c r="D11" s="32" t="inlineStr">
        <is>
          <t>There is no test suite for the backend, no migration tool, no backup policy and no load test evidence.</t>
        </is>
      </c>
      <c r="E11" s="31" t="n">
        <v>8</v>
      </c>
      <c r="F11" s="36" t="n">
        <v>4</v>
      </c>
      <c r="G11" s="31" t="n">
        <v>1</v>
      </c>
      <c r="H11" s="31" t="n">
        <v>30</v>
      </c>
      <c r="I11" s="31">
        <f>COUNTIFS(Findings!$B$2:$B$91,$A11,Findings!$Q$2:$Q$91,"Done")</f>
        <v/>
      </c>
      <c r="J11" s="37">
        <f>IF($E11=0,0,$I11/$E11)</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62" customWidth="1" min="3" max="3"/>
    <col width="7" customWidth="1" min="4" max="4"/>
    <col width="48" customWidth="1" min="5" max="5"/>
    <col width="10" customWidth="1" min="6" max="6"/>
    <col width="10" customWidth="1" min="7" max="7"/>
    <col width="13" customWidth="1" min="8" max="8"/>
    <col width="8" customWidth="1" min="9" max="9"/>
    <col width="12" customWidth="1" min="10" max="10"/>
    <col width="62" customWidth="1" min="11" max="11"/>
  </cols>
  <sheetData>
    <row r="1" ht="30" customHeight="1">
      <c r="A1" s="27" t="inlineStr">
        <is>
          <t>Sprint</t>
        </is>
      </c>
      <c r="B1" s="27" t="inlineStr">
        <is>
          <t>Name</t>
        </is>
      </c>
      <c r="C1" s="27" t="inlineStr">
        <is>
          <t>Theme</t>
        </is>
      </c>
      <c r="D1" s="27" t="inlineStr">
        <is>
          <t>Weeks</t>
        </is>
      </c>
      <c r="E1" s="27" t="inlineStr">
        <is>
          <t>Entry criteria</t>
        </is>
      </c>
      <c r="F1" s="27" t="inlineStr">
        <is>
          <t>Findings</t>
        </is>
      </c>
      <c r="G1" s="27" t="inlineStr">
        <is>
          <t>Critical</t>
        </is>
      </c>
      <c r="H1" s="27" t="inlineStr">
        <is>
          <t>Effort (days)</t>
        </is>
      </c>
      <c r="I1" s="27" t="inlineStr">
        <is>
          <t>Done</t>
        </is>
      </c>
      <c r="J1" s="27" t="inlineStr">
        <is>
          <t>% complete</t>
        </is>
      </c>
      <c r="K1" s="27" t="inlineStr">
        <is>
          <t>Exit criteria</t>
        </is>
      </c>
    </row>
    <row r="2" ht="58" customHeight="1">
      <c r="A2" s="28" t="inlineStr">
        <is>
          <t>S1</t>
        </is>
      </c>
      <c r="B2" s="29" t="inlineStr">
        <is>
          <t>Stop the Bleeding — Security</t>
        </is>
      </c>
      <c r="C2" s="32" t="inlineStr">
        <is>
          <t>Close every unauthenticated write and PII leak. Nothing else ships first.</t>
        </is>
      </c>
      <c r="D2" s="31" t="n">
        <v>2</v>
      </c>
      <c r="E2" s="32" t="inlineStr">
        <is>
          <t>Audit signed off. Staging environment available.</t>
        </is>
      </c>
      <c r="F2" s="31" t="n">
        <v>11</v>
      </c>
      <c r="G2" s="31" t="n">
        <v>7</v>
      </c>
      <c r="H2" s="31" t="n">
        <v>24</v>
      </c>
      <c r="I2" s="31">
        <f>COUNTIFS(Findings!$C$2:$C$91,$A2,Findings!$Q$2:$Q$91,"Done")</f>
        <v/>
      </c>
      <c r="J2" s="37">
        <f>IF($F2=0,0,$I2/$F2)</f>
        <v/>
      </c>
      <c r="K2" s="32" t="inlineStr">
        <is>
          <t>No unauthenticated write path remains; no public endpoint returns a phone number, name or account id.</t>
        </is>
      </c>
    </row>
    <row r="3" ht="58" customHeight="1">
      <c r="A3" s="28" t="inlineStr">
        <is>
          <t>S2</t>
        </is>
      </c>
      <c r="B3" s="29" t="inlineStr">
        <is>
          <t>Auth Foundation</t>
        </is>
      </c>
      <c r="C3" s="32" t="inlineStr">
        <is>
          <t>Real tokens for citizen, coordinator and admin; server-side rate limiting.</t>
        </is>
      </c>
      <c r="D3" s="31" t="n">
        <v>2</v>
      </c>
      <c r="E3" s="32" t="inlineStr">
        <is>
          <t>S1 merged. Token scheme agreed.</t>
        </is>
      </c>
      <c r="F3" s="31" t="n">
        <v>8</v>
      </c>
      <c r="G3" s="31" t="n">
        <v>5</v>
      </c>
      <c r="H3" s="31" t="n">
        <v>19</v>
      </c>
      <c r="I3" s="31">
        <f>COUNTIFS(Findings!$C$2:$C$91,$A3,Findings!$Q$2:$Q$91,"Done")</f>
        <v/>
      </c>
      <c r="J3" s="37">
        <f>IF($F3=0,0,$I3/$F3)</f>
        <v/>
      </c>
      <c r="K3" s="32" t="inlineStr">
        <is>
          <t>Every client holds a real token; OTP is throttled and never returned in a response; no plaintext password remains in the database.</t>
        </is>
      </c>
    </row>
    <row r="4" ht="58" customHeight="1">
      <c r="A4" s="28" t="inlineStr">
        <is>
          <t>S3</t>
        </is>
      </c>
      <c r="B4" s="29" t="inlineStr">
        <is>
          <t>Data Platform Migration</t>
        </is>
      </c>
      <c r="C4" s="32" t="inlineStr">
        <is>
          <t>PostgreSQL + PostGIS, indexes, migrations, backups.</t>
        </is>
      </c>
      <c r="D4" s="31" t="n">
        <v>3</v>
      </c>
      <c r="E4" s="32" t="inlineStr">
        <is>
          <t>Schema frozen. Data migration script reviewed.</t>
        </is>
      </c>
      <c r="F4" s="31" t="n">
        <v>9</v>
      </c>
      <c r="G4" s="31" t="n">
        <v>4</v>
      </c>
      <c r="H4" s="31" t="n">
        <v>35</v>
      </c>
      <c r="I4" s="31">
        <f>COUNTIFS(Findings!$C$2:$C$91,$A4,Findings!$Q$2:$Q$91,"Done")</f>
        <v/>
      </c>
      <c r="J4" s="37">
        <f>IF($F4=0,0,$I4/$F4)</f>
        <v/>
      </c>
      <c r="K4" s="32" t="inlineStr">
        <is>
          <t>Production runs on PostgreSQL with indexes in place, Alembic migrations, verified nightly backups and a rehearsed restore.</t>
        </is>
      </c>
    </row>
    <row r="5" ht="58" customHeight="1">
      <c r="A5" s="28" t="inlineStr">
        <is>
          <t>S4</t>
        </is>
      </c>
      <c r="B5" s="29" t="inlineStr">
        <is>
          <t>API Scale Hardening</t>
        </is>
      </c>
      <c r="C5" s="32" t="inlineStr">
        <is>
          <t>Pagination, indexed queries, async offload of Gemini, caching.</t>
        </is>
      </c>
      <c r="D5" s="31" t="n">
        <v>3</v>
      </c>
      <c r="E5" s="32" t="inlineStr">
        <is>
          <t>S3 live in staging.</t>
        </is>
      </c>
      <c r="F5" s="31" t="n">
        <v>21</v>
      </c>
      <c r="G5" s="31" t="n">
        <v>7</v>
      </c>
      <c r="H5" s="31" t="n">
        <v>55</v>
      </c>
      <c r="I5" s="31">
        <f>COUNTIFS(Findings!$C$2:$C$91,$A5,Findings!$Q$2:$Q$91,"Done")</f>
        <v/>
      </c>
      <c r="J5" s="37">
        <f>IF($F5=0,0,$I5/$F5)</f>
        <v/>
      </c>
      <c r="K5" s="32" t="inlineStr">
        <is>
          <t>Every list endpoint is paginated; no endpoint scans the issues table; report submission returns in under 500ms with AI work offloaded.</t>
        </is>
      </c>
    </row>
    <row r="6" ht="58" customHeight="1">
      <c r="A6" s="28" t="inlineStr">
        <is>
          <t>S5</t>
        </is>
      </c>
      <c r="B6" s="29" t="inlineStr">
        <is>
          <t>Realtime &amp; Notification Rework</t>
        </is>
      </c>
      <c r="C6" s="32" t="inlineStr">
        <is>
          <t>Push-first delivery, retention, batching, FCM correctness.</t>
        </is>
      </c>
      <c r="D6" s="31" t="n">
        <v>2</v>
      </c>
      <c r="E6" s="32" t="inlineStr">
        <is>
          <t>S2 tokens available for push auth.</t>
        </is>
      </c>
      <c r="F6" s="31" t="n">
        <v>6</v>
      </c>
      <c r="G6" s="31" t="n">
        <v>2</v>
      </c>
      <c r="H6" s="31" t="n">
        <v>17</v>
      </c>
      <c r="I6" s="31">
        <f>COUNTIFS(Findings!$C$2:$C$91,$A6,Findings!$Q$2:$Q$91,"Done")</f>
        <v/>
      </c>
      <c r="J6" s="37">
        <f>IF($F6=0,0,$I6/$F6)</f>
        <v/>
      </c>
      <c r="K6" s="32" t="inlineStr">
        <is>
          <t>Push is the primary delivery channel; client polling load is reduced by at least 95%; dead tokens are pruned.</t>
        </is>
      </c>
    </row>
    <row r="7" ht="58" customHeight="1">
      <c r="A7" s="28" t="inlineStr">
        <is>
          <t>S6</t>
        </is>
      </c>
      <c r="B7" s="29" t="inlineStr">
        <is>
          <t>Multi-Tenancy Rollout</t>
        </is>
      </c>
      <c r="C7" s="32" t="inlineStr">
        <is>
          <t>Statewide boundaries, per-AC scoping, per-office admin accounts.</t>
        </is>
      </c>
      <c r="D7" s="31" t="n">
        <v>3</v>
      </c>
      <c r="E7" s="32" t="inlineStr">
        <is>
          <t>S2 and S3 complete.</t>
        </is>
      </c>
      <c r="F7" s="31" t="n">
        <v>6</v>
      </c>
      <c r="G7" s="31" t="n">
        <v>3</v>
      </c>
      <c r="H7" s="31" t="n">
        <v>40</v>
      </c>
      <c r="I7" s="31">
        <f>COUNTIFS(Findings!$C$2:$C$91,$A7,Findings!$Q$2:$Q$91,"Done")</f>
        <v/>
      </c>
      <c r="J7" s="37">
        <f>IF($F7=0,0,$I7/$F7)</f>
        <v/>
      </c>
      <c r="K7" s="32" t="inlineStr">
        <is>
          <t>Statewide boundaries load; a second constituency is onboarded end to end with data isolation proven by test.</t>
        </is>
      </c>
    </row>
    <row r="8" ht="58" customHeight="1">
      <c r="A8" s="28" t="inlineStr">
        <is>
          <t>S7</t>
        </is>
      </c>
      <c r="B8" s="29" t="inlineStr">
        <is>
          <t>Mobile Production Readiness</t>
        </is>
      </c>
      <c r="C8" s="32" t="inlineStr">
        <is>
          <t>Crash reporting, secure storage, offline cache, upload caps.</t>
        </is>
      </c>
      <c r="D8" s="31" t="n">
        <v>2</v>
      </c>
      <c r="E8" s="32" t="inlineStr">
        <is>
          <t>S2 tokens integrated in the app.</t>
        </is>
      </c>
      <c r="F8" s="31" t="n">
        <v>10</v>
      </c>
      <c r="G8" s="31" t="n">
        <v>1</v>
      </c>
      <c r="H8" s="31" t="n">
        <v>22</v>
      </c>
      <c r="I8" s="31">
        <f>COUNTIFS(Findings!$C$2:$C$91,$A8,Findings!$Q$2:$Q$91,"Done")</f>
        <v/>
      </c>
      <c r="J8" s="37">
        <f>IF($F8=0,0,$I8/$F8)</f>
        <v/>
      </c>
      <c r="K8" s="32" t="inlineStr">
        <is>
          <t>Crash reporting live with a baseline crash-free rate; session data in secure storage; upload caps enforced; boundaries cached on disk.</t>
        </is>
      </c>
    </row>
    <row r="9" ht="58" customHeight="1">
      <c r="A9" s="28" t="inlineStr">
        <is>
          <t>S8</t>
        </is>
      </c>
      <c r="B9" s="29" t="inlineStr">
        <is>
          <t>Admin Dashboard Rebuild</t>
        </is>
      </c>
      <c r="C9" s="32" t="inlineStr">
        <is>
          <t>Server-side queries, real analytics, audit trail per operator.</t>
        </is>
      </c>
      <c r="D9" s="31" t="n">
        <v>3</v>
      </c>
      <c r="E9" s="32" t="inlineStr">
        <is>
          <t>S4 pagination endpoints available.</t>
        </is>
      </c>
      <c r="F9" s="31" t="n">
        <v>8</v>
      </c>
      <c r="G9" s="31" t="n">
        <v>2</v>
      </c>
      <c r="H9" s="31" t="n">
        <v>34</v>
      </c>
      <c r="I9" s="31">
        <f>COUNTIFS(Findings!$C$2:$C$91,$A9,Findings!$Q$2:$Q$91,"Done")</f>
        <v/>
      </c>
      <c r="J9" s="37">
        <f>IF($F9=0,0,$I9/$F9)</f>
        <v/>
      </c>
      <c r="K9" s="32" t="inlineStr">
        <is>
          <t>Console loads in under 2 seconds against 100k seeded grievances; no mock analytics reachable; every action attributed to an operator.</t>
        </is>
      </c>
    </row>
    <row r="10" ht="58" customHeight="1">
      <c r="A10" s="28" t="inlineStr">
        <is>
          <t>S9</t>
        </is>
      </c>
      <c r="B10" s="29" t="inlineStr">
        <is>
          <t>Compliance &amp; Cost</t>
        </is>
      </c>
      <c r="C10" s="32" t="inlineStr">
        <is>
          <t>DPDP posture, retention, licensed map/geocode/LLM budgets.</t>
        </is>
      </c>
      <c r="D10" s="31" t="n">
        <v>2</v>
      </c>
      <c r="E10" s="32" t="inlineStr">
        <is>
          <t>Legal review booked. Vendor quotes in.</t>
        </is>
      </c>
      <c r="F10" s="31" t="n">
        <v>6</v>
      </c>
      <c r="G10" s="31" t="n">
        <v>4</v>
      </c>
      <c r="H10" s="31" t="n">
        <v>25</v>
      </c>
      <c r="I10" s="31">
        <f>COUNTIFS(Findings!$C$2:$C$91,$A10,Findings!$Q$2:$Q$91,"Done")</f>
        <v/>
      </c>
      <c r="J10" s="37">
        <f>IF($F10=0,0,$I10/$F10)</f>
        <v/>
      </c>
      <c r="K10" s="32" t="inlineStr">
        <is>
          <t>Licensed tile and geocoding providers live with budgets; DPDP retention, export and erasure implemented; AI spend capped per tenant.</t>
        </is>
      </c>
    </row>
    <row r="11" ht="58" customHeight="1">
      <c r="A11" s="28" t="inlineStr">
        <is>
          <t>S10</t>
        </is>
      </c>
      <c r="B11" s="29" t="inlineStr">
        <is>
          <t>Load Test &amp; Launch Readiness</t>
        </is>
      </c>
      <c r="C11" s="32" t="inlineStr">
        <is>
          <t>Prove 100k concurrent-capable, runbooks, rollback.</t>
        </is>
      </c>
      <c r="D11" s="31" t="n">
        <v>2</v>
      </c>
      <c r="E11" s="32" t="inlineStr">
        <is>
          <t>All prior sprints merged to staging.</t>
        </is>
      </c>
      <c r="F11" s="31" t="n">
        <v>5</v>
      </c>
      <c r="G11" s="31" t="n">
        <v>3</v>
      </c>
      <c r="H11" s="31" t="n">
        <v>25</v>
      </c>
      <c r="I11" s="31">
        <f>COUNTIFS(Findings!$C$2:$C$91,$A11,Findings!$Q$2:$Q$91,"Done")</f>
        <v/>
      </c>
      <c r="J11" s="37">
        <f>IF($F11=0,0,$I11/$F11)</f>
        <v/>
      </c>
      <c r="K11" s="32" t="inlineStr">
        <is>
          <t>Load test sustains target concurrency within SLO; runbooks and rollback rehearsed; launch go/no-go signed off.</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2:E15"/>
  <sheetViews>
    <sheetView showGridLines="0" workbookViewId="0">
      <selection activeCell="A1" sqref="A1"/>
    </sheetView>
  </sheetViews>
  <sheetFormatPr baseColWidth="8" defaultRowHeight="15"/>
  <cols>
    <col width="3" customWidth="1" min="1" max="1"/>
    <col width="46" customWidth="1" min="2" max="2"/>
    <col width="18" customWidth="1" min="3" max="3"/>
    <col width="18" customWidth="1" min="4" max="4"/>
    <col width="76" customWidth="1" min="5" max="5"/>
  </cols>
  <sheetData>
    <row r="2">
      <c r="B2" s="38" t="inlineStr">
        <is>
          <t>Why the current design does not reach the target</t>
        </is>
      </c>
    </row>
    <row r="3">
      <c r="B3" s="7" t="inlineStr">
        <is>
          <t>Order-of-magnitude arithmetic behind the Critical scalability findings. Assumptions are stated so they can be argued with.</t>
        </is>
      </c>
    </row>
    <row r="5">
      <c r="B5" s="39" t="inlineStr">
        <is>
          <t>Measure</t>
        </is>
      </c>
      <c r="C5" s="39" t="inlineStr">
        <is>
          <t>Today</t>
        </is>
      </c>
      <c r="D5" s="39" t="inlineStr">
        <is>
          <t>At target</t>
        </is>
      </c>
      <c r="E5" s="39" t="inlineStr">
        <is>
          <t>Consequence</t>
        </is>
      </c>
    </row>
    <row r="6" ht="56" customHeight="1">
      <c r="B6" s="40" t="inlineStr">
        <is>
          <t>Notification polling requests/second</t>
        </is>
      </c>
      <c r="C6" s="41" t="inlineStr">
        <is>
          <t>~0 (demo users)</t>
        </is>
      </c>
      <c r="D6" s="42" t="inlineStr">
        <is>
          <t>~11,700 rps</t>
        </is>
      </c>
      <c r="E6" s="32" t="inlineStr">
        <is>
          <t>Two independent pollers per device at 15s and 20s. 100,000 devices produce roughly 6,700 + 5,000 requests per second of pure overhead, against a single SQLite file, before any citizen action. See F045, F046.</t>
        </is>
      </c>
    </row>
    <row r="7" ht="56" customHeight="1">
      <c r="B7" s="40" t="inlineStr">
        <is>
          <t>Rows scanned per map open</t>
        </is>
      </c>
      <c r="C7" s="41" t="inlineStr">
        <is>
          <t>1,020</t>
        </is>
      </c>
      <c r="D7" s="42" t="inlineStr">
        <is>
          <t>100,000+</t>
        </is>
      </c>
      <c r="E7" s="32" t="inlineStr">
        <is>
          <t>/api/issues/nearby loads every non-SUBMITTED row and computes Haversine in Python per row. The map is the landing screen, so this is the hottest path in the product. See F028.</t>
        </is>
      </c>
    </row>
    <row r="8" ht="56" customHeight="1">
      <c r="B8" s="40" t="inlineStr">
        <is>
          <t>Admin console payload per page load</t>
        </is>
      </c>
      <c r="C8" s="41" t="inlineStr">
        <is>
          <t>~1 MB</t>
        </is>
      </c>
      <c r="D8" s="42" t="inlineStr">
        <is>
          <t>several hundred MB</t>
        </is>
      </c>
      <c r="E8" s="32" t="inlineStr">
        <is>
          <t>The console fetches the entire issues table with no pagination and filters client-side. The browser will not survive it. See F027, F076.</t>
        </is>
      </c>
    </row>
    <row r="9" ht="56" customHeight="1">
      <c r="B9" s="40" t="inlineStr">
        <is>
          <t>Full table scans per dashboard open</t>
        </is>
      </c>
      <c r="C9" s="41" t="inlineStr">
        <is>
          <t>~5</t>
        </is>
      </c>
      <c r="D9" s="42" t="inlineStr">
        <is>
          <t>~500</t>
        </is>
      </c>
      <c r="E9" s="32" t="inlineStr">
        <is>
          <t>coordinator-performance runs one scan per coordinator. 100 offices at roughly 5 coordinators each. See F031.</t>
        </is>
      </c>
    </row>
    <row r="10" ht="56" customHeight="1">
      <c r="B10" s="40" t="inlineStr">
        <is>
          <t>Ticket-number collision probability</t>
        </is>
      </c>
      <c r="C10" s="41" t="inlineStr">
        <is>
          <t>negligible</t>
        </is>
      </c>
      <c r="D10" s="42" t="inlineStr">
        <is>
          <t>~69% at 100k, effectively certain beyond</t>
        </is>
      </c>
      <c r="E10" s="32" t="inlineStr">
        <is>
          <t>8 hex characters is a 2^32 space with no UNIQUE constraint. Two citizens receive the same tracking number. See F021.</t>
        </is>
      </c>
    </row>
    <row r="11" ht="56" customHeight="1">
      <c r="B11" s="40" t="inlineStr">
        <is>
          <t>Constituencies the system can serve</t>
        </is>
      </c>
      <c r="C11" s="41" t="inlineStr">
        <is>
          <t>16 (Chennai only)</t>
        </is>
      </c>
      <c r="D11" s="42" t="inlineStr">
        <is>
          <t>100 required</t>
        </is>
      </c>
      <c r="E11" s="32" t="inlineStr">
        <is>
          <t>Boundaries are Greater Chennai Corporation only and reports outside them are refused with a 422. 99 of 100 target offices cannot receive a grievance. See F051, F052, F089.</t>
        </is>
      </c>
    </row>
    <row r="12" ht="56" customHeight="1">
      <c r="B12" s="40" t="inlineStr">
        <is>
          <t>Gemini invocations per grievance</t>
        </is>
      </c>
      <c r="C12" s="41" t="inlineStr">
        <is>
          <t>up to 12</t>
        </is>
      </c>
      <c r="D12" s="42" t="inlineStr">
        <is>
          <t>up to 12, unbudgeted</t>
        </is>
      </c>
      <c r="E12" s="32" t="inlineStr">
        <is>
          <t>Three sequential calls, each with two attempts across two models, with no per-tenant quota or spend cap. See F042, F066.</t>
        </is>
      </c>
    </row>
    <row r="13" ht="56" customHeight="1">
      <c r="B13" s="40" t="inlineStr">
        <is>
          <t>OSM tile requests/day</t>
        </is>
      </c>
      <c r="C13" s="41" t="inlineStr">
        <is>
          <t>low</t>
        </is>
      </c>
      <c r="D13" s="42" t="inlineStr">
        <is>
          <t>millions</t>
        </is>
      </c>
      <c r="E13" s="32" t="inlineStr">
        <is>
          <t>The OSM Foundation tile policy forbids distributing an app that uses its tiles. Traffic at this volume will be blocked and every map goes blank. See F063.</t>
        </is>
      </c>
    </row>
    <row r="14" ht="56" customHeight="1">
      <c r="B14" s="40" t="inlineStr">
        <is>
          <t>Nominatim geocode requests/day</t>
        </is>
      </c>
      <c r="C14" s="41" t="inlineStr">
        <is>
          <t>low</t>
        </is>
      </c>
      <c r="D14" s="42" t="inlineStr">
        <is>
          <t>hundreds of thousands</t>
        </is>
      </c>
      <c r="E14" s="32" t="inlineStr">
        <is>
          <t>Policy caps absolute maximum use at 1 request per second. Called directly from every handset and again server-side per report. See F064, F065.</t>
        </is>
      </c>
    </row>
    <row r="15" ht="56" customHeight="1">
      <c r="B15" s="40" t="inlineStr">
        <is>
          <t>Concurrent database writers</t>
        </is>
      </c>
      <c r="C15" s="41" t="inlineStr">
        <is>
          <t>1</t>
        </is>
      </c>
      <c r="D15" s="42" t="inlineStr">
        <is>
          <t>1</t>
        </is>
      </c>
      <c r="E15" s="32" t="inlineStr">
        <is>
          <t>SQLite serialises writes behind a global lock and the deployment is a single process. Neither the engine nor the topology can be scaled out without the Postgres migration. See F018, F083.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2026-09-16T19:37:12Z</dcterms:created>
  <dcterms:modified xmlns:dcterms="http://purl.org/dc/terms/" xmlns:xsi="http://www.w3.org/2001/XMLSchema-instance" xsi:type="dcterms:W3CDTF">2026-09-16T19:37:12Z</dcterms:modified>
</cp:coreProperties>
</file>